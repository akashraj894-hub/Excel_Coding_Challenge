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Global Freelanzer/"/>
    </mc:Choice>
  </mc:AlternateContent>
  <xr:revisionPtr revIDLastSave="84" documentId="8_{7F05851B-0164-483C-82A7-885A7BB01DC2}" xr6:coauthVersionLast="47" xr6:coauthVersionMax="47" xr10:uidLastSave="{D5FB5CA2-588A-428A-957A-FFD9AF42941E}"/>
  <bookViews>
    <workbookView xWindow="-110" yWindow="-110" windowWidth="19420" windowHeight="10300" activeTab="3" xr2:uid="{14452829-B15A-4CFE-88C2-053B6E2B00F7}"/>
  </bookViews>
  <sheets>
    <sheet name="global_freelancer_raw.1" sheetId="1" r:id="rId1"/>
    <sheet name="Task 1" sheetId="2" state="hidden" r:id="rId2"/>
    <sheet name="Task 2" sheetId="3" state="hidden" r:id="rId3"/>
    <sheet name="Step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4" l="1"/>
  <c r="S9" i="4"/>
  <c r="S8" i="4"/>
  <c r="S5" i="4"/>
  <c r="S4" i="4"/>
  <c r="S3" i="4"/>
  <c r="S2" i="4"/>
</calcChain>
</file>

<file path=xl/sharedStrings.xml><?xml version="1.0" encoding="utf-8"?>
<sst xmlns="http://schemas.openxmlformats.org/spreadsheetml/2006/main" count="25778" uniqueCount="2095">
  <si>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</si>
  <si>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</si>
  <si>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</si>
  <si>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</si>
  <si>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</si>
  <si>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</si>
  <si>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</si>
  <si>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</si>
  <si>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</si>
  <si>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</si>
  <si>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</si>
  <si>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</si>
  <si>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</si>
  <si>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</si>
  <si>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</si>
  <si>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</si>
  <si>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</si>
  <si>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</si>
  <si>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</si>
  <si>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</si>
  <si>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</si>
  <si>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</si>
  <si>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</si>
  <si>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</si>
  <si>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</si>
  <si>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</si>
  <si>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</si>
  <si>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</si>
  <si>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</si>
  <si>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</si>
  <si>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</si>
  <si>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</si>
  <si>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</si>
  <si>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</si>
  <si>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</si>
  <si>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</si>
  <si>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</si>
  <si>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</si>
  <si>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</si>
  <si>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</si>
  <si>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</si>
  <si>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</si>
  <si>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</si>
  <si>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</si>
  <si>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</si>
  <si>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</si>
  <si>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</si>
  <si>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</si>
  <si>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</si>
  <si>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</si>
  <si>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</si>
  <si>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</si>
  <si>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</si>
  <si>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</si>
  <si>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</si>
  <si>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</si>
  <si>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</si>
  <si>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</si>
  <si>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</si>
  <si>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</si>
  <si>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</si>
  <si>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</si>
  <si>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</si>
  <si>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</si>
  <si>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</si>
  <si>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</si>
  <si>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</si>
  <si>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</si>
  <si>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</si>
  <si>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</si>
  <si>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</si>
  <si>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</si>
  <si>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</si>
  <si>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</si>
  <si>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</si>
  <si>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</si>
  <si>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</si>
  <si>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</si>
  <si>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</si>
  <si>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</si>
  <si>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</si>
  <si>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</si>
  <si>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</si>
  <si>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</si>
  <si>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</si>
  <si>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</si>
  <si>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</si>
  <si>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</si>
  <si>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</si>
  <si>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</si>
  <si>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</si>
  <si>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</si>
  <si>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</si>
  <si>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</si>
  <si>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</si>
  <si>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</si>
  <si>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</si>
  <si>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</si>
  <si>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</si>
  <si>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</si>
  <si>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</si>
  <si>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</si>
  <si>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</si>
  <si>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</si>
  <si>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</si>
  <si>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</si>
  <si>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</si>
  <si>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</si>
  <si>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</si>
  <si>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</si>
  <si>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</si>
  <si>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</si>
  <si>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</si>
  <si>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</si>
  <si>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</si>
  <si>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</si>
  <si>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</si>
  <si>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</si>
  <si>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</si>
  <si>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</si>
  <si>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</si>
  <si>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</si>
  <si>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</si>
  <si>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</si>
  <si>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</si>
  <si>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</si>
  <si>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</si>
  <si>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</si>
  <si>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</si>
  <si>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</si>
  <si>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</si>
  <si>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</si>
  <si>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</si>
  <si>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</si>
  <si>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</si>
  <si>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</si>
  <si>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</si>
  <si>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</si>
  <si>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</si>
  <si>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</si>
  <si>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</si>
  <si>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</si>
  <si>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</si>
  <si>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</si>
  <si>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</si>
  <si>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</si>
  <si>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</si>
  <si>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</si>
  <si>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</si>
  <si>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</si>
  <si>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</si>
  <si>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</si>
  <si>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</si>
  <si>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</si>
  <si>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</si>
  <si>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</si>
  <si>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</si>
  <si>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</si>
  <si>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</si>
  <si>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</si>
  <si>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</si>
  <si>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</si>
  <si>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</si>
  <si>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</si>
  <si>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</si>
  <si>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</si>
  <si>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</si>
  <si>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</si>
  <si>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</si>
  <si>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</si>
  <si>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</si>
  <si>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</si>
  <si>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</si>
  <si>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</si>
  <si>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</si>
  <si>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</si>
  <si>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</si>
  <si>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</si>
  <si>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</si>
  <si>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</si>
  <si>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</si>
  <si>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</si>
  <si>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</si>
  <si>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</si>
  <si>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</si>
  <si>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</si>
  <si>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</si>
  <si>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</si>
  <si>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</si>
  <si>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</si>
  <si>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</si>
  <si>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</si>
  <si>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</si>
  <si>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</si>
  <si>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</si>
  <si>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</si>
  <si>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</si>
  <si>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</si>
  <si>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</si>
  <si>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</si>
  <si>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</si>
  <si>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</si>
  <si>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</si>
  <si>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</si>
  <si>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</si>
  <si>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</si>
  <si>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</si>
  <si>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</si>
  <si>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</si>
  <si>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</si>
  <si>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</si>
  <si>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</si>
  <si>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</si>
  <si>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</si>
  <si>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</si>
  <si>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</si>
  <si>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</si>
  <si>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</si>
  <si>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</si>
  <si>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</si>
  <si>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</si>
  <si>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</si>
  <si>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</si>
  <si>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</si>
  <si>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</si>
  <si>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</si>
  <si>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</si>
  <si>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</si>
  <si>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</si>
  <si>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</si>
  <si>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</si>
  <si>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</si>
  <si>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</si>
  <si>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</si>
  <si>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</si>
  <si>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</si>
  <si>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</si>
  <si>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</si>
  <si>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</si>
  <si>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</si>
  <si>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</si>
  <si>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</si>
  <si>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</si>
  <si>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</si>
  <si>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</si>
  <si>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</si>
  <si>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</si>
  <si>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</si>
  <si>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</si>
  <si>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</si>
  <si>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</si>
  <si>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</si>
  <si>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</si>
  <si>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</si>
  <si>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</si>
  <si>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</si>
  <si>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</si>
  <si>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</si>
  <si>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</si>
  <si>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</si>
  <si>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</si>
  <si>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</si>
  <si>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</si>
  <si>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</si>
  <si>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</si>
  <si>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</si>
  <si>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</si>
  <si>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</si>
  <si>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</si>
  <si>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</si>
  <si>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</si>
  <si>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</si>
  <si>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</si>
  <si>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</si>
  <si>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</si>
  <si>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</si>
  <si>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</si>
  <si>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</si>
  <si>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</si>
  <si>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</si>
  <si>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</si>
  <si>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</si>
  <si>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</si>
  <si>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</si>
  <si>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</si>
  <si>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</si>
  <si>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</si>
  <si>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</si>
  <si>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</si>
  <si>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</si>
  <si>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</si>
  <si>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</si>
  <si>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</si>
  <si>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</si>
  <si>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</si>
  <si>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</si>
  <si>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</si>
  <si>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</si>
  <si>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</si>
  <si>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</si>
  <si>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</si>
  <si>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</si>
  <si>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</si>
  <si>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</si>
  <si>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</si>
  <si>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</si>
  <si>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</si>
  <si>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</si>
  <si>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</si>
  <si>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</si>
  <si>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</si>
  <si>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</si>
  <si>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</si>
  <si>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</si>
  <si>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</si>
  <si>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</si>
  <si>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</si>
  <si>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</si>
  <si>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</si>
  <si>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</si>
  <si>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</si>
  <si>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</si>
  <si>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</si>
  <si>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</si>
  <si>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</si>
  <si>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</si>
  <si>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</si>
  <si>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</si>
  <si>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</si>
  <si>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</si>
  <si>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</si>
  <si>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</si>
  <si>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</si>
  <si>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</si>
  <si>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</si>
  <si>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</si>
  <si>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</si>
  <si>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</si>
  <si>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</si>
  <si>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</si>
  <si>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</si>
  <si>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</si>
  <si>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</si>
  <si>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</si>
  <si>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</si>
  <si>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</si>
  <si>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</si>
  <si>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</si>
  <si>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</si>
  <si>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</si>
  <si>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</si>
  <si>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</si>
  <si>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</si>
  <si>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</si>
  <si>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</si>
  <si>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</si>
  <si>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</si>
  <si>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</si>
  <si>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</si>
  <si>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</si>
  <si>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</si>
  <si>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</si>
  <si>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</si>
  <si>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</si>
  <si>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</si>
  <si>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</si>
  <si>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</si>
  <si>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</si>
  <si>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</si>
  <si>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</si>
  <si>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</si>
  <si>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</si>
  <si>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</si>
  <si>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</si>
  <si>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</si>
  <si>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</si>
  <si>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</si>
  <si>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</si>
  <si>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</si>
  <si>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</si>
  <si>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</si>
  <si>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</si>
  <si>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</si>
  <si>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</si>
  <si>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</si>
  <si>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</si>
  <si>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</si>
  <si>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</si>
  <si>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</si>
  <si>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</si>
  <si>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</si>
  <si>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</si>
  <si>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</si>
  <si>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</si>
  <si>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</si>
  <si>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</si>
  <si>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</si>
  <si>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</si>
  <si>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</si>
  <si>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</si>
  <si>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</si>
  <si>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</si>
  <si>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</si>
  <si>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</si>
  <si>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</si>
  <si>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</si>
  <si>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</si>
  <si>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</si>
  <si>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</si>
  <si>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</si>
  <si>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</si>
  <si>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</si>
  <si>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</si>
  <si>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</si>
  <si>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</si>
  <si>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</si>
  <si>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</si>
  <si>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</si>
  <si>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</si>
  <si>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</si>
  <si>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</si>
  <si>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</si>
  <si>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</si>
  <si>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</si>
  <si>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</si>
  <si>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</si>
  <si>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</si>
  <si>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</si>
  <si>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</si>
  <si>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</si>
  <si>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</si>
  <si>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</si>
  <si>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</si>
  <si>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</si>
  <si>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</si>
  <si>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</si>
  <si>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</si>
  <si>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</si>
  <si>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</si>
  <si>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</si>
  <si>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</si>
  <si>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</si>
  <si>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</si>
  <si>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</si>
  <si>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</si>
  <si>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</si>
  <si>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</si>
  <si>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</si>
  <si>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</si>
  <si>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</si>
  <si>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</si>
  <si>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</si>
  <si>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</si>
  <si>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</si>
  <si>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</si>
  <si>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</si>
  <si>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</si>
  <si>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</si>
  <si>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</si>
  <si>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</si>
  <si>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</si>
  <si>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</si>
  <si>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</si>
  <si>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</si>
  <si>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</si>
  <si>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</si>
  <si>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</si>
  <si>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</si>
  <si>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</si>
  <si>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</si>
  <si>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</si>
  <si>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</si>
  <si>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</si>
  <si>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</si>
  <si>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</si>
  <si>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</si>
  <si>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</si>
  <si>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</si>
  <si>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</si>
  <si>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</si>
  <si>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</si>
  <si>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</si>
  <si>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</si>
  <si>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</si>
  <si>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</si>
  <si>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</si>
  <si>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</si>
  <si>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</si>
  <si>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</si>
  <si>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</si>
  <si>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</si>
  <si>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</si>
  <si>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</si>
  <si>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</si>
  <si>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</si>
  <si>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</si>
  <si>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</si>
  <si>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</si>
  <si>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</si>
  <si>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</si>
  <si>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</si>
  <si>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</si>
  <si>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</si>
  <si>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</si>
  <si>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</si>
  <si>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</si>
  <si>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</si>
  <si>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</si>
  <si>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</si>
  <si>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</si>
  <si>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</si>
  <si>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</si>
  <si>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</si>
  <si>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</si>
  <si>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</si>
  <si>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</si>
  <si>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</si>
  <si>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</si>
  <si>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</si>
  <si>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</si>
  <si>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</si>
  <si>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</si>
  <si>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</si>
  <si>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</si>
  <si>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</si>
  <si>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</si>
  <si>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</si>
  <si>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</si>
  <si>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</si>
  <si>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</si>
  <si>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</si>
  <si>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</si>
  <si>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</si>
  <si>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</si>
  <si>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</si>
  <si>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</si>
  <si>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</si>
  <si>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</si>
  <si>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</si>
  <si>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</si>
  <si>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</si>
  <si>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</si>
  <si>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</si>
  <si>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</si>
  <si>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</si>
  <si>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</si>
  <si>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</si>
  <si>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</si>
  <si>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</si>
  <si>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</si>
  <si>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</si>
  <si>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</si>
  <si>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</si>
  <si>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</si>
  <si>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</si>
  <si>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</si>
  <si>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</si>
  <si>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</si>
  <si>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</si>
  <si>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</si>
  <si>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</si>
  <si>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</si>
  <si>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</si>
  <si>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</si>
  <si>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</si>
  <si>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</si>
  <si>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</si>
  <si>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</si>
  <si>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</si>
  <si>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</si>
  <si>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</si>
  <si>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</si>
  <si>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</si>
  <si>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</si>
  <si>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</si>
  <si>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</si>
  <si>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</si>
  <si>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</si>
  <si>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</si>
  <si>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</si>
  <si>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</si>
  <si>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</si>
  <si>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</si>
  <si>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</si>
  <si>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</si>
  <si>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</si>
  <si>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</si>
  <si>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</si>
  <si>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</si>
  <si>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</si>
  <si>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</si>
  <si>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</si>
  <si>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</si>
  <si>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</si>
  <si>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</si>
  <si>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</si>
  <si>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</si>
  <si>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</si>
  <si>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</si>
  <si>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</si>
  <si>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</si>
  <si>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</si>
  <si>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</si>
  <si>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</si>
  <si>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</si>
  <si>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</si>
  <si>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</si>
  <si>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</si>
  <si>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</si>
  <si>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</si>
  <si>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</si>
  <si>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</si>
  <si>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</si>
  <si>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</si>
  <si>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</si>
  <si>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</si>
  <si>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</si>
  <si>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</si>
  <si>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</si>
  <si>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</si>
  <si>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</si>
  <si>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</si>
  <si>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</si>
  <si>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</si>
  <si>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</si>
  <si>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</si>
  <si>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</si>
  <si>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</si>
  <si>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</si>
  <si>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</si>
  <si>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</si>
  <si>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</si>
  <si>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</si>
  <si>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</si>
  <si>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</si>
  <si>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</si>
  <si>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</si>
  <si>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</si>
  <si>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</si>
  <si>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</si>
  <si>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</si>
  <si>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</si>
  <si>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</si>
  <si>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</si>
  <si>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</si>
  <si>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</si>
  <si>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</si>
  <si>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</si>
  <si>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</si>
  <si>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</si>
  <si>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</si>
  <si>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</si>
  <si>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</si>
  <si>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</si>
  <si>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</si>
  <si>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</si>
  <si>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</si>
  <si>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</si>
  <si>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</si>
  <si>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</si>
  <si>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</si>
  <si>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</si>
  <si>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</si>
  <si>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</si>
  <si>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</si>
  <si>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</si>
  <si>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</si>
  <si>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</si>
  <si>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</si>
  <si>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</si>
  <si>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</si>
  <si>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</si>
  <si>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</si>
  <si>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</si>
  <si>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</si>
  <si>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</si>
  <si>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</si>
  <si>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</si>
  <si>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</si>
  <si>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</si>
  <si>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</si>
  <si>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</si>
  <si>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</si>
  <si>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</si>
  <si>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</si>
  <si>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</si>
  <si>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</si>
  <si>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</si>
  <si>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</si>
  <si>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</si>
  <si>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</si>
  <si>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</si>
  <si>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</si>
  <si>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</si>
  <si>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</si>
  <si>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</si>
  <si>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</si>
  <si>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</si>
  <si>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</si>
  <si>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</si>
  <si>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</si>
  <si>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</si>
  <si>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</si>
  <si>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</si>
  <si>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</si>
  <si>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</si>
  <si>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</si>
  <si>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</si>
  <si>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</si>
  <si>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</si>
  <si>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</si>
  <si>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</si>
  <si>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</si>
  <si>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</si>
  <si>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</si>
  <si>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</si>
  <si>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</si>
  <si>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</si>
  <si>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</si>
  <si>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</si>
  <si>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</si>
  <si>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</si>
  <si>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</si>
  <si>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</si>
  <si>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</si>
  <si>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</si>
  <si>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</si>
  <si>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</si>
  <si>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</si>
  <si>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</si>
  <si>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</si>
  <si>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</si>
  <si>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</si>
  <si>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</si>
  <si>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</si>
  <si>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</si>
  <si>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</si>
  <si>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</si>
  <si>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</si>
  <si>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</si>
  <si>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</si>
  <si>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</si>
  <si>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</si>
  <si>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</si>
  <si>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</si>
  <si>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</si>
  <si>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</si>
  <si>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</si>
  <si>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</si>
  <si>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</si>
  <si>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</si>
  <si>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</si>
  <si>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</si>
  <si>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</si>
  <si>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</si>
  <si>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</si>
  <si>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</si>
  <si>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</si>
  <si>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</si>
  <si>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</si>
  <si>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</si>
  <si>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</si>
  <si>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</si>
  <si>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</si>
  <si>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</si>
  <si>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</si>
  <si>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</si>
  <si>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</si>
  <si>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</si>
  <si>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</si>
  <si>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</si>
  <si>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</si>
  <si>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</si>
  <si>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</si>
  <si>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</si>
  <si>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</si>
  <si>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</si>
  <si>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</si>
  <si>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</si>
  <si>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</si>
  <si>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</si>
  <si>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</si>
  <si>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</si>
  <si>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</si>
  <si>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</si>
  <si>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</si>
  <si>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</si>
  <si>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</si>
  <si>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</si>
  <si>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</si>
  <si>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</si>
  <si>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</si>
  <si>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</si>
  <si>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</si>
  <si>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</si>
  <si>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</si>
  <si>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</si>
  <si>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</si>
  <si>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</si>
  <si>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</si>
  <si>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</si>
  <si>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</si>
  <si>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</si>
  <si>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</si>
  <si>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</si>
  <si>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</si>
  <si>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</si>
  <si>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</si>
  <si>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</si>
  <si>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</si>
  <si>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</si>
  <si>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</si>
  <si>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</si>
  <si>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</si>
  <si>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</si>
  <si>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</si>
  <si>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</si>
  <si>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</si>
  <si>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</si>
  <si>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</si>
  <si>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</si>
  <si>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</si>
  <si>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</si>
  <si>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</si>
  <si>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</si>
  <si>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</si>
  <si>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</si>
  <si>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</si>
  <si>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</si>
  <si>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</si>
  <si>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</si>
  <si>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</si>
  <si>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</si>
  <si>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</si>
  <si>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</si>
  <si>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</si>
  <si>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</si>
  <si>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</si>
  <si>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</si>
  <si>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</si>
  <si>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</si>
  <si>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</si>
  <si>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</si>
  <si>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</si>
  <si>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</si>
  <si>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</si>
  <si>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</si>
  <si>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</si>
  <si>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</si>
  <si>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</si>
  <si>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</si>
  <si>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</si>
  <si>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</si>
  <si>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</si>
  <si>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</si>
  <si>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</si>
  <si>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</si>
  <si>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</si>
  <si>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</si>
  <si>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</si>
  <si>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</si>
  <si>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</si>
  <si>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</si>
  <si>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</si>
  <si>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</si>
  <si>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</si>
  <si>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</si>
  <si>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</si>
  <si>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</si>
  <si>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</si>
  <si>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</si>
  <si>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</si>
  <si>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</si>
  <si>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</si>
  <si>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</si>
  <si>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</si>
  <si>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</si>
  <si>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</si>
  <si>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</si>
  <si>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</si>
  <si>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</si>
  <si>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</si>
  <si>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</si>
  <si>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</si>
  <si>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</si>
  <si>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</si>
  <si>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</si>
  <si>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</si>
  <si>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</si>
  <si>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</si>
  <si>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</si>
  <si>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</si>
  <si>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</si>
  <si>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</si>
  <si>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</si>
  <si>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</si>
  <si>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</si>
  <si>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</si>
  <si>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</si>
  <si>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</si>
  <si>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</si>
  <si>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</si>
  <si>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</si>
  <si>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</si>
  <si>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</si>
  <si>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</si>
  <si>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</si>
  <si>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</si>
  <si>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</si>
  <si>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</si>
  <si>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</si>
  <si>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</si>
  <si>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</si>
  <si>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</si>
  <si>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</si>
  <si>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</si>
  <si>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</si>
  <si>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</si>
  <si>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</si>
  <si>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</si>
  <si>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</si>
  <si>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</si>
  <si>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</si>
  <si>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</si>
  <si>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</si>
  <si>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</si>
  <si>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</si>
  <si>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</si>
  <si>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</si>
  <si>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</si>
  <si>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</si>
  <si>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</si>
  <si>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</si>
  <si>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</si>
  <si>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</si>
  <si>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</si>
  <si>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</si>
  <si>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</si>
  <si>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</si>
  <si>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</si>
  <si>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</si>
  <si>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</si>
  <si>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</si>
  <si>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</si>
  <si>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</si>
  <si>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</si>
  <si>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</si>
  <si>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</si>
  <si>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</si>
  <si>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</si>
  <si>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</si>
  <si>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</si>
  <si>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</si>
  <si>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</si>
  <si>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</si>
  <si>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</si>
  <si>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</si>
  <si>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</si>
  <si>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</si>
  <si>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</si>
  <si>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</si>
  <si>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</si>
  <si>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</si>
  <si>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</si>
  <si>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</si>
  <si>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</si>
  <si>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</si>
  <si>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</si>
  <si>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</si>
  <si>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</si>
  <si>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</si>
  <si>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</si>
  <si>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</si>
  <si>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</si>
  <si>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</si>
  <si>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</si>
  <si>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</si>
  <si>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</si>
  <si>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</si>
  <si>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</si>
  <si>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</si>
  <si>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</si>
  <si>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</si>
  <si>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</si>
  <si>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</si>
  <si>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</si>
  <si>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</si>
  <si>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</si>
  <si>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</si>
  <si>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</si>
  <si>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</si>
  <si>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</si>
  <si>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</si>
  <si>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</si>
  <si>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</si>
  <si>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</si>
  <si>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</si>
  <si>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</si>
  <si>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</si>
  <si>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</si>
  <si>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</si>
  <si>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</si>
  <si>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</si>
  <si>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</si>
  <si>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</si>
  <si>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</si>
  <si>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</si>
  <si>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</si>
  <si>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</si>
  <si>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</si>
  <si>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</si>
  <si>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</si>
  <si>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</si>
  <si>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</si>
  <si>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</si>
  <si>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</si>
  <si>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</si>
  <si>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</si>
  <si>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</si>
  <si>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</si>
  <si>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</si>
  <si>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</si>
  <si>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</si>
  <si>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</si>
  <si>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</si>
  <si>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</si>
  <si>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</si>
  <si>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</si>
  <si>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</si>
  <si>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</si>
  <si>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</si>
  <si>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</si>
  <si>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</si>
  <si>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</si>
  <si>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</si>
  <si>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</si>
  <si>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</si>
  <si>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</si>
  <si>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</si>
  <si>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</si>
  <si>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</si>
  <si>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</si>
  <si>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</si>
  <si>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</si>
  <si>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</si>
  <si>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</si>
  <si>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</si>
  <si>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</si>
  <si>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</si>
  <si>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</si>
  <si>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</si>
  <si>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</si>
  <si>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</si>
  <si>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</si>
  <si>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</si>
  <si>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</si>
  <si>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</si>
  <si>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</si>
  <si>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</si>
  <si>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</si>
  <si>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</si>
  <si>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</si>
  <si>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</si>
  <si>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</si>
  <si>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</si>
  <si>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</si>
  <si>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</si>
  <si>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</si>
  <si>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</si>
  <si>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</si>
  <si>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</si>
  <si>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</si>
  <si>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</si>
  <si>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</si>
  <si>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</si>
  <si>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</si>
  <si>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</si>
  <si>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</si>
  <si>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</si>
  <si>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</si>
  <si>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</si>
  <si>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</si>
  <si>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</si>
  <si>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</si>
  <si>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</si>
  <si>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</si>
  <si>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</si>
  <si>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</si>
  <si>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</si>
  <si>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</si>
  <si>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</si>
  <si>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</si>
  <si>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</si>
  <si>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</si>
  <si>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</si>
  <si>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</si>
  <si>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</si>
  <si>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</si>
  <si>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</si>
  <si>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</si>
  <si>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</si>
  <si>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</si>
  <si>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</si>
  <si>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</si>
  <si>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</si>
  <si>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</si>
  <si>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</si>
  <si>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</si>
  <si>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</si>
  <si>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</si>
  <si>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</si>
  <si>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</si>
  <si>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</si>
  <si>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</si>
  <si>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</si>
  <si>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</si>
  <si>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</si>
  <si>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</si>
  <si>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</si>
  <si>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</si>
  <si>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</si>
  <si>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</si>
  <si>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</si>
  <si>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</si>
  <si>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</si>
  <si>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</si>
  <si>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</si>
  <si>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</si>
  <si>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</si>
  <si>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</si>
  <si>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</si>
  <si>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</si>
  <si>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</si>
  <si>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</si>
  <si>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</si>
  <si>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</si>
  <si>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</si>
  <si>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</si>
  <si>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</si>
  <si>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</si>
  <si>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</si>
  <si>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</si>
  <si>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</si>
  <si>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</si>
  <si>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</si>
  <si>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</si>
  <si>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</si>
  <si>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</si>
  <si>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</si>
  <si>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</si>
  <si>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</si>
  <si>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</si>
  <si>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</si>
  <si>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</si>
  <si>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</si>
  <si>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</si>
  <si>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</si>
  <si>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</si>
  <si>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</si>
  <si>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</si>
  <si>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</si>
  <si>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</si>
  <si>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</si>
  <si>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</si>
  <si>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</si>
  <si>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</si>
  <si>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</si>
  <si>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</si>
  <si>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</si>
  <si>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</si>
  <si>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</si>
  <si>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</si>
  <si>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</si>
  <si>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</si>
  <si>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</si>
  <si>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</si>
  <si>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</si>
  <si>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</si>
  <si>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</si>
  <si>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</si>
  <si>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</si>
  <si>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</si>
  <si>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</si>
  <si>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</si>
  <si>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</si>
  <si>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</si>
  <si>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</si>
  <si>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</si>
  <si>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</si>
  <si>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</si>
  <si>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</si>
  <si>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</si>
  <si>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</si>
  <si>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</si>
  <si>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</si>
  <si>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</si>
  <si>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</si>
  <si>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</si>
  <si>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</si>
  <si>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</si>
  <si>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</si>
  <si>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</si>
  <si>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</si>
  <si>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</si>
  <si>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</si>
  <si>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</si>
  <si>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</si>
  <si>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</si>
  <si>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</si>
  <si>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</si>
  <si>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</si>
  <si>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</si>
  <si>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</si>
  <si>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</si>
  <si>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</si>
  <si>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</si>
  <si>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</si>
  <si>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</si>
  <si>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</si>
  <si>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</si>
  <si>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</si>
  <si>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</si>
  <si>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</si>
  <si>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</si>
  <si>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</si>
  <si>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</si>
  <si>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</si>
  <si>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</si>
  <si>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</si>
  <si>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</si>
  <si>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</si>
  <si>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</si>
  <si>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</si>
  <si>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</si>
  <si>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</si>
  <si>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</si>
  <si>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</si>
  <si>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</si>
  <si>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</si>
  <si>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</si>
  <si>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</si>
  <si>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</si>
  <si>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</si>
  <si>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</si>
  <si>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</si>
  <si>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</si>
  <si>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</si>
  <si>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</si>
  <si>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</si>
  <si>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</si>
  <si>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</si>
  <si>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</si>
  <si>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</si>
  <si>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</si>
  <si>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</si>
  <si>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</si>
  <si>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</si>
  <si>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</si>
  <si>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</si>
  <si>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</si>
  <si>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</si>
  <si>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</si>
  <si>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</si>
  <si>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</si>
  <si>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</si>
  <si>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</si>
  <si>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</si>
  <si>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</si>
  <si>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</si>
  <si>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</si>
  <si>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</si>
  <si>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</si>
  <si>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</si>
  <si>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</si>
  <si>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</si>
  <si>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</si>
  <si>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</si>
  <si>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</si>
  <si>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</si>
  <si>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</si>
  <si>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</si>
  <si>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</si>
  <si>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</si>
  <si>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</si>
  <si>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</si>
  <si>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</si>
  <si>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</si>
  <si>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</si>
  <si>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</si>
  <si>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</si>
  <si>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</si>
  <si>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</si>
  <si>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</si>
  <si>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</si>
  <si>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</si>
  <si>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</si>
  <si>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</si>
  <si>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</si>
  <si>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</si>
  <si>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</si>
  <si>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</si>
  <si>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</si>
  <si>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</si>
  <si>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</si>
  <si>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</si>
  <si>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</si>
  <si>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</si>
  <si>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</si>
  <si>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</si>
  <si>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</si>
  <si>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</si>
  <si>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</si>
  <si>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</si>
  <si>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</si>
  <si>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</si>
  <si>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</si>
  <si>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</si>
  <si>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</si>
  <si>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</si>
  <si>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</si>
  <si>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</si>
  <si>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</si>
  <si>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</si>
  <si>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</si>
  <si>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</si>
  <si>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</si>
  <si>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</si>
  <si>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</si>
  <si>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</si>
  <si>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</si>
  <si>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</si>
  <si>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</si>
  <si>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</si>
  <si>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</si>
  <si>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</si>
  <si>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</si>
  <si>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</si>
  <si>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</si>
  <si>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</si>
  <si>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</si>
  <si>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</si>
  <si>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</si>
  <si>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</si>
  <si>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</si>
  <si>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</si>
  <si>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</si>
  <si>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</si>
  <si>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</si>
  <si>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</si>
  <si>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</si>
  <si>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</si>
  <si>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</si>
  <si>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</si>
  <si>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</si>
  <si>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</si>
  <si>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</si>
  <si>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</si>
  <si>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</si>
  <si>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</si>
  <si>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</si>
  <si>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</si>
  <si>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</si>
  <si>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</si>
  <si>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</si>
  <si>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</si>
  <si>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</si>
  <si>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</si>
  <si>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</si>
  <si>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</si>
  <si>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</si>
  <si>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</si>
  <si>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</si>
  <si>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</si>
  <si>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</si>
  <si>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</si>
  <si>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</si>
  <si>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</si>
  <si>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</si>
  <si>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</si>
  <si>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</si>
  <si>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</si>
  <si>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</si>
  <si>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</si>
  <si>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</si>
  <si>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</si>
  <si>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</si>
  <si>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</si>
  <si>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</si>
  <si>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</si>
  <si>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</si>
  <si>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</si>
  <si>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</si>
  <si>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</si>
  <si>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</si>
  <si>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</si>
  <si>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</si>
  <si>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</si>
  <si>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</si>
  <si>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</si>
  <si>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</si>
  <si>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</si>
  <si>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</si>
  <si>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</si>
  <si>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</si>
  <si>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</si>
  <si>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</si>
  <si>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</si>
  <si>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</si>
  <si>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</si>
  <si>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</si>
  <si>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</si>
  <si>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</si>
  <si>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</si>
  <si>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</si>
  <si>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</si>
  <si>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</si>
  <si>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</si>
  <si>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</si>
  <si>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</si>
  <si>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</si>
  <si>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</si>
  <si>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</si>
  <si>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</si>
  <si>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</si>
  <si>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</si>
  <si>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</si>
  <si>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</si>
  <si>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</si>
  <si>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</si>
  <si>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</si>
  <si>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</si>
  <si>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</si>
  <si>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</si>
  <si>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</si>
  <si>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</si>
  <si>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</si>
  <si>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</si>
  <si>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</si>
  <si>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</si>
  <si>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</si>
  <si>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</si>
  <si>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</si>
  <si>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</si>
  <si>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</si>
  <si>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</si>
  <si>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</si>
  <si>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</si>
  <si>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</si>
  <si>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</si>
  <si>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</si>
  <si>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</si>
  <si>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</si>
  <si>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</si>
  <si>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</si>
  <si>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</si>
  <si>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</si>
  <si>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</si>
  <si>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</si>
  <si>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</si>
  <si>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</si>
  <si>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</si>
  <si>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</si>
  <si>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</si>
  <si>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</si>
  <si>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</si>
  <si>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</si>
  <si>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</si>
  <si>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</si>
  <si>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</si>
  <si>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</si>
  <si>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</si>
  <si>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</si>
  <si>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</si>
  <si>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</si>
  <si>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</si>
  <si>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</si>
  <si>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</si>
  <si>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</si>
  <si>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</si>
  <si>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</si>
  <si>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</si>
  <si>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</si>
  <si>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</si>
  <si>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</si>
  <si>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</si>
  <si>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</si>
  <si>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</si>
  <si>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</si>
  <si>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</si>
  <si>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</si>
  <si>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</si>
  <si>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</si>
  <si>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</si>
  <si>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</si>
  <si>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</si>
  <si>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</si>
  <si>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</si>
  <si>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</si>
  <si>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</si>
  <si>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</si>
  <si>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</si>
  <si>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</si>
  <si>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</si>
  <si>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</si>
  <si>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</si>
  <si>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</si>
  <si>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</si>
  <si>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</si>
  <si>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</si>
  <si>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</si>
  <si>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</si>
  <si>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</si>
  <si>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</si>
  <si>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</si>
  <si>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</si>
  <si>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</si>
  <si>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</si>
  <si>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</si>
  <si>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</si>
  <si>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</si>
  <si>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</si>
  <si>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</si>
  <si>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</si>
  <si>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</si>
  <si>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</si>
  <si>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</si>
  <si>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</si>
  <si>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</si>
  <si>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</si>
  <si>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</si>
  <si>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</si>
  <si>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</si>
  <si>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</si>
  <si>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</si>
  <si>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</si>
  <si>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</si>
  <si>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</si>
  <si>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</si>
  <si>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</si>
  <si>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</si>
  <si>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</si>
  <si>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</si>
  <si>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</si>
  <si>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</si>
  <si>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</si>
  <si>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</si>
  <si>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</si>
  <si>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</si>
  <si>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</si>
  <si>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</si>
  <si>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</si>
  <si>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</si>
  <si>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</si>
  <si>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</si>
  <si>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</si>
  <si>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</si>
  <si>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</si>
  <si>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</si>
  <si>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</si>
  <si>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</si>
  <si>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</si>
  <si>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</si>
  <si>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</si>
  <si>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</si>
  <si>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</si>
  <si>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</si>
  <si>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</si>
  <si>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</si>
  <si>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</si>
  <si>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</si>
  <si>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</si>
  <si>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</si>
  <si>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</si>
  <si>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</si>
  <si>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</si>
  <si>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</si>
  <si>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</si>
  <si>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</si>
  <si>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</si>
  <si>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</si>
  <si>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</si>
  <si>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</si>
  <si>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</si>
  <si>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</si>
  <si>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</si>
  <si>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</si>
  <si>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</si>
  <si>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</si>
  <si>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</si>
  <si>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</si>
  <si>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</si>
  <si>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</si>
  <si>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</si>
  <si>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</si>
  <si>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</si>
  <si>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</si>
  <si>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</si>
  <si>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</si>
  <si>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</si>
  <si>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</si>
  <si>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</si>
  <si>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</si>
  <si>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</si>
  <si>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</si>
  <si>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</si>
  <si>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</si>
  <si>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</si>
  <si>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</si>
  <si>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</si>
  <si>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</si>
  <si>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</si>
  <si>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</si>
  <si>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</si>
  <si>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</si>
  <si>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</si>
  <si>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</si>
  <si>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</si>
  <si>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</si>
  <si>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</si>
  <si>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</si>
  <si>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</si>
  <si>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</si>
  <si>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</si>
  <si>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</si>
  <si>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</si>
  <si>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</si>
  <si>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</si>
  <si>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</si>
  <si>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</si>
  <si>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</si>
  <si>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</si>
  <si>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</si>
  <si>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</si>
  <si>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</si>
  <si>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</si>
  <si>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</si>
  <si>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</si>
  <si>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</si>
  <si>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</si>
  <si>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</si>
  <si>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</si>
  <si>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</si>
  <si>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</si>
  <si>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</si>
  <si>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</si>
  <si>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</si>
  <si>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</si>
  <si>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</si>
  <si>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</si>
  <si>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</si>
  <si>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</si>
  <si>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</si>
  <si>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</si>
  <si>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</si>
  <si>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</si>
  <si>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</si>
  <si>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</si>
  <si>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</si>
  <si>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</si>
  <si>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</si>
  <si>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</si>
  <si>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</si>
  <si>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</si>
  <si>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</si>
  <si>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</si>
  <si>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</si>
  <si>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</si>
  <si>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</si>
  <si>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</si>
  <si>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</si>
  <si>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</si>
  <si>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</si>
  <si>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</si>
  <si>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</si>
  <si>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</si>
  <si>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</si>
  <si>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</si>
  <si>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</si>
  <si>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</si>
  <si>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</si>
  <si>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</si>
  <si>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</si>
  <si>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</si>
  <si>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</si>
  <si>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</si>
  <si>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</si>
  <si>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</si>
  <si>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</si>
  <si>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</si>
  <si>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</si>
  <si>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</si>
  <si>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</si>
  <si>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</si>
  <si>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</si>
  <si>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</si>
  <si>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</si>
  <si>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</si>
  <si>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</si>
  <si>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</si>
  <si>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</si>
  <si>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</si>
  <si>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</si>
  <si>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</si>
  <si>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</si>
  <si>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</si>
  <si>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</si>
  <si>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</si>
  <si>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</si>
  <si>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</si>
  <si>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</si>
  <si>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</si>
  <si>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</si>
  <si>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</si>
  <si>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</si>
  <si>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</si>
  <si>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</si>
  <si>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</si>
  <si>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</si>
  <si>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</si>
  <si>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</si>
  <si>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</si>
  <si>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</si>
  <si>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</si>
  <si>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</si>
  <si>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</si>
  <si>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</si>
  <si>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</si>
  <si>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</si>
  <si>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</si>
  <si>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</si>
  <si>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</si>
  <si>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</si>
  <si>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</si>
  <si>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</si>
  <si>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</si>
  <si>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</si>
  <si>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</si>
  <si>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</si>
  <si>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</si>
  <si>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</si>
  <si>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</si>
  <si>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</si>
  <si>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</si>
  <si>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</si>
  <si>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</si>
  <si>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</si>
  <si>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</si>
  <si>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</si>
  <si>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</si>
  <si>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</si>
  <si>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</si>
  <si>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</si>
  <si>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</si>
  <si>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</si>
  <si>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</si>
  <si>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</si>
  <si>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</si>
  <si>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</si>
  <si>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</si>
  <si>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</si>
  <si>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</si>
  <si>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</si>
  <si>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</si>
  <si>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</si>
  <si>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</si>
  <si>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</si>
  <si>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</si>
  <si>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</si>
  <si>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</si>
  <si>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</si>
  <si>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</si>
  <si>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</si>
  <si>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</si>
  <si>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</si>
  <si>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</si>
  <si>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</si>
  <si>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</si>
  <si>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</si>
  <si>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</si>
  <si>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</si>
  <si>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</si>
  <si>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</si>
  <si>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</si>
  <si>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</si>
  <si>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</si>
  <si>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</si>
  <si>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</si>
  <si>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</si>
  <si>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</si>
  <si>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</si>
  <si>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</si>
  <si>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</si>
  <si>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</si>
  <si>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</si>
  <si>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</si>
  <si>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</si>
  <si>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</si>
  <si>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</si>
  <si>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</si>
  <si>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</si>
  <si>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</si>
  <si>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</si>
  <si>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</si>
  <si>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</si>
  <si>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</si>
  <si>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</si>
  <si>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</si>
  <si>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</si>
  <si>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</si>
  <si>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</si>
  <si>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</si>
  <si>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</si>
  <si>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</si>
  <si>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</si>
  <si>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</si>
  <si>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</si>
  <si>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</si>
  <si>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</si>
  <si>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</si>
  <si>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</si>
  <si>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</si>
  <si>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</si>
  <si>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</si>
  <si>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</si>
  <si>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</si>
  <si>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</si>
  <si>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</si>
  <si>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</si>
  <si>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</si>
  <si>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</si>
  <si>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</si>
  <si>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</si>
  <si>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</si>
  <si>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</si>
  <si>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</si>
  <si>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</si>
  <si>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</si>
  <si>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</si>
  <si>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</si>
  <si>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</si>
  <si>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</si>
  <si>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</si>
  <si>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</si>
  <si>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</si>
  <si>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</si>
  <si>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</si>
  <si>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</si>
  <si>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</si>
  <si>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</si>
  <si>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</si>
  <si>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</si>
  <si>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</si>
  <si>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</si>
  <si>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</si>
  <si>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</si>
  <si>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</si>
  <si>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</si>
  <si>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</si>
  <si>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</si>
  <si>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</si>
  <si>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</si>
  <si>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</si>
  <si>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</si>
  <si>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</si>
  <si>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</si>
  <si>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</si>
  <si>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</si>
  <si>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</si>
  <si>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</si>
  <si>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</si>
  <si>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</si>
  <si>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</si>
  <si>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</si>
  <si>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</si>
  <si>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</si>
  <si>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</si>
  <si>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</si>
  <si>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</si>
  <si>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</si>
  <si>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</si>
  <si>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</si>
  <si>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</si>
  <si>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</si>
  <si>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</si>
  <si>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</si>
  <si>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</si>
  <si>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</si>
  <si>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</si>
  <si>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</si>
  <si>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</si>
  <si>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</si>
  <si>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</si>
  <si>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</si>
  <si>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</si>
  <si>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</si>
  <si>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</si>
  <si>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</si>
  <si>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</si>
  <si>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</si>
  <si>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</si>
  <si>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</si>
  <si>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</si>
  <si>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</si>
  <si>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</si>
  <si>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</si>
  <si>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</si>
  <si>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</si>
  <si>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</si>
  <si>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</si>
  <si>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</si>
  <si>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</si>
  <si>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</si>
  <si>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</si>
  <si>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</si>
  <si>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</si>
  <si>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</si>
  <si>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</si>
  <si>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</si>
  <si>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</si>
  <si>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</si>
  <si>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</si>
  <si>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</si>
  <si>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</si>
  <si>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</si>
  <si>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</si>
  <si>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</si>
  <si>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</si>
  <si>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</si>
  <si>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</si>
  <si>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</si>
  <si>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</si>
  <si>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</si>
  <si>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</si>
  <si>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</si>
  <si>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</si>
  <si>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</si>
  <si>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</si>
  <si>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</si>
  <si>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</si>
  <si>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</si>
  <si>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</si>
  <si>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</si>
  <si>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</si>
  <si>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</si>
  <si>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</si>
  <si>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</si>
  <si>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</si>
  <si>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</si>
  <si>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</si>
  <si>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</si>
  <si>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</si>
  <si>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</si>
  <si>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</si>
  <si>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</si>
  <si>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</si>
  <si>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</si>
  <si>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</si>
  <si>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</si>
  <si>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</si>
  <si>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</si>
  <si>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</si>
  <si>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</si>
  <si>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</si>
  <si>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</si>
  <si>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</si>
  <si>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</si>
  <si>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</si>
  <si>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</si>
  <si>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</si>
  <si>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</si>
  <si>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</si>
  <si>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</si>
  <si>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</si>
  <si>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</si>
  <si>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</si>
  <si>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</si>
  <si>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</si>
  <si>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</si>
  <si>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</si>
  <si>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</si>
  <si>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</si>
  <si>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</si>
  <si>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</si>
  <si>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</si>
  <si>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</si>
  <si>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</si>
  <si>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</si>
  <si>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</si>
  <si>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</si>
  <si>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</si>
  <si>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</si>
  <si>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</si>
  <si>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</si>
  <si>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</si>
  <si>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</si>
  <si>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</si>
  <si>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</si>
  <si>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</si>
  <si>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</si>
  <si>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</si>
  <si>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</si>
  <si>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</si>
  <si>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</si>
  <si>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</si>
  <si>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</si>
  <si>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</si>
  <si>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</si>
  <si>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</si>
  <si>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</si>
  <si>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</si>
  <si>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</si>
  <si>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</si>
  <si>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</si>
  <si>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</si>
  <si>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</si>
  <si>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</si>
  <si>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</si>
  <si>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</si>
  <si>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</si>
  <si>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</si>
  <si>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</si>
  <si>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</si>
  <si>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</si>
  <si>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</si>
  <si>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</si>
  <si>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</si>
  <si>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</si>
  <si>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</si>
  <si>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</si>
  <si>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</si>
  <si>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</si>
  <si>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</si>
  <si>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</si>
  <si>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</si>
  <si>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</si>
  <si>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</si>
  <si>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</si>
  <si>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</si>
  <si>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</si>
  <si>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</si>
  <si>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</si>
  <si>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</si>
  <si>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</si>
  <si>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</si>
  <si>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</si>
  <si>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</si>
  <si>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</si>
  <si>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</si>
  <si>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</si>
  <si>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</si>
  <si>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</si>
  <si>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</si>
  <si>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</si>
  <si>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</si>
  <si>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</si>
  <si>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</si>
  <si>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</si>
  <si>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</si>
  <si>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</si>
  <si>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</si>
  <si>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</si>
  <si>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</si>
  <si>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</si>
  <si>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</si>
  <si>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</si>
  <si>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</si>
  <si>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</si>
  <si>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</si>
  <si>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</si>
  <si>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</si>
  <si>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</si>
  <si>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</si>
  <si>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</si>
  <si>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</si>
  <si>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</si>
  <si>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</si>
  <si>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</si>
  <si>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</si>
  <si>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</si>
  <si>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</si>
  <si>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</si>
  <si>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</si>
  <si>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</t>
  </si>
  <si>
    <t>It’s a raw data that we need to clean</t>
  </si>
  <si>
    <t>As per my understanding it’s a overall freelancers list (globaly)</t>
  </si>
  <si>
    <t>There are so many mising informations that we need to find</t>
  </si>
  <si>
    <t>Notes : I have done the tabel for the data</t>
  </si>
  <si>
    <t>Sum of Project</t>
  </si>
  <si>
    <t xml:space="preserve">Average of Age </t>
  </si>
  <si>
    <t>Minium Duration</t>
  </si>
  <si>
    <t>Maximum Duration</t>
  </si>
  <si>
    <t>Summary</t>
  </si>
  <si>
    <t>Sum of on hold projects</t>
  </si>
  <si>
    <t>Count of reviewed</t>
  </si>
  <si>
    <t>Average of  reviewed(Duration of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</si>
</sst>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6" fillId="0" borderId="0" xfId="0" applyFont="1"/>
    <xf numFmtId="1" fontId="0" fillId="0" borderId="0" xfId="0" applyNumberFormat="1" applyAlignment="1">
      <alignment horizontal="center"/>
    </xf>
    <xf numFmtId="0" fontId="0" fillId="0" borderId="13" xfId="0" applyBorder="1"/>
    <xf numFmtId="1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5E8CF-0848-4F59-AEAC-84F5A5C480C2}" name="Table1" displayName="Table1" ref="A1:P1001" totalsRowShown="0" headerRowDxfId="35" dataDxfId="34">
  <autoFilter ref="A1:P1001" xr:uid="{A885E8CF-0848-4F59-AEAC-84F5A5C480C2}"/>
  <tableColumns count="16">
    <tableColumn id="1" xr3:uid="{E76B6EEB-AF70-478B-8003-29DA8DA287C3}" name="freelancer_ID" dataDxfId="33"/>
    <tableColumn id="2" xr3:uid="{D54A5686-5870-451F-A486-5CDA7D9C398E}" name="name" dataDxfId="32"/>
    <tableColumn id="3" xr3:uid="{F03C3570-7951-4AC1-85E6-888B94E3FE86}" name="gender" dataDxfId="31"/>
    <tableColumn id="4" xr3:uid="{4F19A1FC-9605-4A7A-94EA-3693128D42D8}" name="age" dataDxfId="30"/>
    <tableColumn id="5" xr3:uid="{E3E5CAE0-D3A0-4942-9092-73DCDE47AC33}" name="country" dataDxfId="29"/>
    <tableColumn id="6" xr3:uid="{B1890D3D-FF92-4616-8226-F3621986B0F4}" name="language" dataDxfId="28"/>
    <tableColumn id="7" xr3:uid="{C899AEAF-5656-45F7-AB1D-3AE4B6D2F974}" name="primary_skill" dataDxfId="27"/>
    <tableColumn id="8" xr3:uid="{B7FCFD67-904F-481D-AA1F-EB4FB78A9D16}" name="years_of_experience" dataDxfId="26"/>
    <tableColumn id="9" xr3:uid="{FEEBB695-D7E2-4467-BE5C-47BCA46DD666}" name="hourly_rate (USD)" dataDxfId="25"/>
    <tableColumn id="10" xr3:uid="{B25C29C0-F147-41F3-86CD-B6A0902741C0}" name="rating" dataDxfId="24"/>
    <tableColumn id="11" xr3:uid="{B607AFDD-888A-4497-A6C0-560CDC6B2D8D}" name="is_active" dataDxfId="23"/>
    <tableColumn id="12" xr3:uid="{072768D5-E3D5-4FDF-852C-CFD89483F6EB}" name="client_satisfaction" dataDxfId="22"/>
    <tableColumn id="13" xr3:uid="{5D6E25F0-F74F-48C1-AAE1-927B6355EE2F}" name="Notes" dataDxfId="21"/>
    <tableColumn id="14" xr3:uid="{5C088407-6386-49EA-AAE4-CB5991E523A0}" name="Status" dataDxfId="20"/>
    <tableColumn id="15" xr3:uid="{279043F9-F6C9-40DC-A471-D1F39FC61513}" name="no of projects " dataDxfId="19"/>
    <tableColumn id="16" xr3:uid="{DAC1F0EE-DED2-4713-9FAD-FEC801F2221A}" name="duration_months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C55215-9F66-4B42-A96B-279110AF9657}" name="Table13" displayName="Table13" ref="A1:P1001" totalsRowShown="0" headerRowDxfId="17" dataDxfId="16">
  <tableColumns count="16">
    <tableColumn id="1" xr3:uid="{386553DD-1CCB-400B-B011-5BD8DCAC8E58}" name="freelancer_ID" dataDxfId="15"/>
    <tableColumn id="2" xr3:uid="{C40CFCE8-1751-454D-B9B1-3DBC053D1C2E}" name="name" dataDxfId="14"/>
    <tableColumn id="3" xr3:uid="{DEAEC8E5-940C-49C1-B1FE-DE1D0F16491C}" name="gender" dataDxfId="13"/>
    <tableColumn id="4" xr3:uid="{B6182F78-0AF0-4F92-8968-2D084C1D6824}" name="age" dataDxfId="12"/>
    <tableColumn id="5" xr3:uid="{1802E5EC-B853-4ACC-BF10-AD3913D10EC7}" name="country" dataDxfId="11"/>
    <tableColumn id="6" xr3:uid="{70BC410C-4712-45DC-9BA5-71A436571E8B}" name="language" dataDxfId="10"/>
    <tableColumn id="7" xr3:uid="{6349F3E5-0CEA-4643-B89B-41088AA6635A}" name="primary_skill" dataDxfId="9"/>
    <tableColumn id="8" xr3:uid="{FB5812DA-7880-4F96-B246-CC52A80A3B15}" name="years_of_experience" dataDxfId="8"/>
    <tableColumn id="9" xr3:uid="{4F28779B-8A51-4158-BC4D-5E018C9333FF}" name="hourly_rate (USD)" dataDxfId="7"/>
    <tableColumn id="10" xr3:uid="{41AE47A9-D61A-4D53-A1B6-9CEAD76C2E14}" name="rating" dataDxfId="6"/>
    <tableColumn id="11" xr3:uid="{966497A7-E317-4753-A4DA-B47FF7118F0B}" name="is_active" dataDxfId="5"/>
    <tableColumn id="12" xr3:uid="{3AA0F589-D180-456C-8DEC-86FE47AB5E49}" name="client_satisfaction" dataDxfId="4"/>
    <tableColumn id="13" xr3:uid="{95B076BD-097E-40C2-A530-F492AFAD6CBF}" name="Notes" dataDxfId="3"/>
    <tableColumn id="14" xr3:uid="{3012D4E8-0E68-48AF-825C-5B1D063FCFA4}" name="Status" dataDxfId="2"/>
    <tableColumn id="15" xr3:uid="{F369F18F-6FB2-4033-B553-44EE4A0EF514}" name="no of projects " dataDxfId="1"/>
    <tableColumn id="16" xr3:uid="{75219EAB-A298-413A-952A-C8F90B82B76B}" name="duration_mont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878B-41E7-42D4-9A23-2F31B84AEF0E}">
  <dimension ref="A1:P1001"/>
  <sheetViews>
    <sheetView workbookViewId="0">
      <selection activeCell="H1" sqref="H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>
        <v>40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5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2">
        <v>30</v>
      </c>
      <c r="J7">
        <v>2.4</v>
      </c>
      <c r="K7" t="b">
        <v>0</v>
      </c>
      <c r="M7" t="s">
        <v>51</v>
      </c>
      <c r="N7" t="s">
        <v>38</v>
      </c>
      <c r="O7">
        <v>8</v>
      </c>
      <c r="P7">
        <v>3</v>
      </c>
    </row>
    <row r="8" spans="1:16" x14ac:dyDescent="0.35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t="s">
        <v>58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61</v>
      </c>
      <c r="J9">
        <v>4.5999999999999996</v>
      </c>
      <c r="K9" t="b">
        <v>0</v>
      </c>
      <c r="L9" s="1">
        <v>0.94</v>
      </c>
      <c r="M9" t="s">
        <v>51</v>
      </c>
      <c r="N9" t="s">
        <v>23</v>
      </c>
      <c r="O9">
        <v>7</v>
      </c>
      <c r="P9">
        <v>10</v>
      </c>
    </row>
    <row r="10" spans="1:16" x14ac:dyDescent="0.35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65</v>
      </c>
      <c r="O10">
        <v>2</v>
      </c>
      <c r="P10">
        <v>4</v>
      </c>
    </row>
    <row r="11" spans="1:16" x14ac:dyDescent="0.35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2">
        <v>50</v>
      </c>
      <c r="K11">
        <v>1</v>
      </c>
      <c r="M11" t="s">
        <v>71</v>
      </c>
      <c r="N11" t="s">
        <v>38</v>
      </c>
      <c r="O11">
        <v>16</v>
      </c>
      <c r="P11">
        <v>5</v>
      </c>
    </row>
    <row r="12" spans="1:16" x14ac:dyDescent="0.35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>
        <v>40</v>
      </c>
      <c r="J12">
        <v>3.6</v>
      </c>
      <c r="K12" t="s">
        <v>75</v>
      </c>
      <c r="L12" s="1">
        <v>0.77</v>
      </c>
      <c r="M12" t="s">
        <v>76</v>
      </c>
      <c r="N12" t="s">
        <v>65</v>
      </c>
      <c r="O12">
        <v>20</v>
      </c>
      <c r="P12">
        <v>5</v>
      </c>
    </row>
    <row r="13" spans="1:16" x14ac:dyDescent="0.35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t="s">
        <v>51</v>
      </c>
      <c r="N13" t="s">
        <v>38</v>
      </c>
      <c r="O13">
        <v>13</v>
      </c>
      <c r="P13">
        <v>4</v>
      </c>
    </row>
    <row r="14" spans="1:16" x14ac:dyDescent="0.35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t="s">
        <v>58</v>
      </c>
      <c r="J15">
        <v>2.9</v>
      </c>
      <c r="K15">
        <v>1</v>
      </c>
      <c r="L15" s="1">
        <v>0.93</v>
      </c>
      <c r="M15" t="s">
        <v>71</v>
      </c>
      <c r="N15" t="s">
        <v>23</v>
      </c>
      <c r="O15">
        <v>17</v>
      </c>
      <c r="P15">
        <v>12</v>
      </c>
    </row>
    <row r="16" spans="1:16" x14ac:dyDescent="0.35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76</v>
      </c>
      <c r="N16" t="s">
        <v>31</v>
      </c>
      <c r="O16">
        <v>14</v>
      </c>
      <c r="P16">
        <v>6</v>
      </c>
    </row>
    <row r="17" spans="1:16" x14ac:dyDescent="0.35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51</v>
      </c>
      <c r="N17" t="s">
        <v>38</v>
      </c>
      <c r="O17">
        <v>5</v>
      </c>
      <c r="P17">
        <v>2</v>
      </c>
    </row>
    <row r="18" spans="1:16" x14ac:dyDescent="0.35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76</v>
      </c>
      <c r="N18" t="s">
        <v>65</v>
      </c>
      <c r="O18">
        <v>7</v>
      </c>
      <c r="P18">
        <v>1</v>
      </c>
    </row>
    <row r="19" spans="1:16" x14ac:dyDescent="0.35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t="s">
        <v>71</v>
      </c>
      <c r="N19" t="s">
        <v>31</v>
      </c>
      <c r="O19">
        <v>1</v>
      </c>
      <c r="P19">
        <v>2</v>
      </c>
    </row>
    <row r="20" spans="1:16" x14ac:dyDescent="0.35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t="s">
        <v>106</v>
      </c>
      <c r="J20">
        <v>1.1000000000000001</v>
      </c>
      <c r="K20" t="s">
        <v>37</v>
      </c>
      <c r="L20" s="1">
        <v>0.75</v>
      </c>
      <c r="M20" t="s">
        <v>51</v>
      </c>
      <c r="N20" t="s">
        <v>31</v>
      </c>
      <c r="O20">
        <v>13</v>
      </c>
      <c r="P20">
        <v>3</v>
      </c>
    </row>
    <row r="21" spans="1:16" x14ac:dyDescent="0.35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75</v>
      </c>
      <c r="L21" s="1">
        <v>0.68</v>
      </c>
      <c r="M21" t="s">
        <v>76</v>
      </c>
      <c r="N21" t="s">
        <v>31</v>
      </c>
      <c r="O21">
        <v>1</v>
      </c>
      <c r="P21">
        <v>1</v>
      </c>
    </row>
    <row r="22" spans="1:16" x14ac:dyDescent="0.35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65</v>
      </c>
      <c r="O22">
        <v>15</v>
      </c>
      <c r="P22">
        <v>6</v>
      </c>
    </row>
    <row r="23" spans="1:16" x14ac:dyDescent="0.35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t="s">
        <v>51</v>
      </c>
      <c r="N23" t="s">
        <v>31</v>
      </c>
      <c r="O23">
        <v>3</v>
      </c>
      <c r="P23">
        <v>5</v>
      </c>
    </row>
    <row r="24" spans="1:16" x14ac:dyDescent="0.35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t="s">
        <v>117</v>
      </c>
      <c r="J24">
        <v>4.7</v>
      </c>
      <c r="K24" t="s">
        <v>37</v>
      </c>
      <c r="M24" t="s">
        <v>76</v>
      </c>
      <c r="N24" t="s">
        <v>65</v>
      </c>
      <c r="O24">
        <v>14</v>
      </c>
      <c r="P24">
        <v>2</v>
      </c>
    </row>
    <row r="25" spans="1:16" x14ac:dyDescent="0.35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71</v>
      </c>
      <c r="N25" t="s">
        <v>31</v>
      </c>
      <c r="O25">
        <v>9</v>
      </c>
      <c r="P25">
        <v>3</v>
      </c>
    </row>
    <row r="26" spans="1:16" x14ac:dyDescent="0.35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>
        <v>75</v>
      </c>
      <c r="J26">
        <v>2.9</v>
      </c>
      <c r="L26">
        <v>92</v>
      </c>
      <c r="M26" t="s">
        <v>71</v>
      </c>
      <c r="N26" t="s">
        <v>65</v>
      </c>
      <c r="O26">
        <v>15</v>
      </c>
      <c r="P26">
        <v>3</v>
      </c>
    </row>
    <row r="27" spans="1:16" x14ac:dyDescent="0.35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t="s">
        <v>117</v>
      </c>
      <c r="J27">
        <v>1.2</v>
      </c>
      <c r="K27">
        <v>1</v>
      </c>
      <c r="L27" s="1">
        <v>0.7</v>
      </c>
      <c r="M27" t="s">
        <v>51</v>
      </c>
      <c r="N27" t="s">
        <v>23</v>
      </c>
      <c r="O27">
        <v>5</v>
      </c>
      <c r="P27">
        <v>2</v>
      </c>
    </row>
    <row r="28" spans="1:16" x14ac:dyDescent="0.35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76</v>
      </c>
      <c r="N28" t="s">
        <v>23</v>
      </c>
      <c r="O28">
        <v>6</v>
      </c>
      <c r="P28">
        <v>1</v>
      </c>
    </row>
    <row r="29" spans="1:16" x14ac:dyDescent="0.35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t="s">
        <v>51</v>
      </c>
      <c r="N29" t="s">
        <v>23</v>
      </c>
      <c r="O29">
        <v>12</v>
      </c>
      <c r="P29">
        <v>4</v>
      </c>
    </row>
    <row r="30" spans="1:16" x14ac:dyDescent="0.35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51</v>
      </c>
      <c r="N30" t="s">
        <v>23</v>
      </c>
      <c r="O30">
        <v>14</v>
      </c>
      <c r="P30">
        <v>2</v>
      </c>
    </row>
    <row r="31" spans="1:16" x14ac:dyDescent="0.35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t="s">
        <v>58</v>
      </c>
      <c r="J31">
        <v>1.2</v>
      </c>
      <c r="K31">
        <v>0</v>
      </c>
      <c r="M31" t="s">
        <v>76</v>
      </c>
      <c r="N31" t="s">
        <v>23</v>
      </c>
      <c r="O31">
        <v>6</v>
      </c>
      <c r="P31">
        <v>5</v>
      </c>
    </row>
    <row r="32" spans="1:16" x14ac:dyDescent="0.35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t="s">
        <v>76</v>
      </c>
      <c r="N32" t="s">
        <v>31</v>
      </c>
      <c r="O32">
        <v>3</v>
      </c>
      <c r="P32">
        <v>1</v>
      </c>
    </row>
    <row r="33" spans="1:16" x14ac:dyDescent="0.35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76</v>
      </c>
      <c r="N34" t="s">
        <v>31</v>
      </c>
      <c r="O34">
        <v>13</v>
      </c>
      <c r="P34">
        <v>6</v>
      </c>
    </row>
    <row r="35" spans="1:16" x14ac:dyDescent="0.35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>
        <v>40</v>
      </c>
      <c r="J35">
        <v>2.4</v>
      </c>
      <c r="K35" t="s">
        <v>75</v>
      </c>
      <c r="L35">
        <v>82</v>
      </c>
      <c r="M35" t="s">
        <v>71</v>
      </c>
      <c r="N35" t="s">
        <v>65</v>
      </c>
      <c r="O35">
        <v>15</v>
      </c>
      <c r="P35">
        <v>3</v>
      </c>
    </row>
    <row r="36" spans="1:16" x14ac:dyDescent="0.35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75</v>
      </c>
      <c r="L36" s="1">
        <v>0.81</v>
      </c>
      <c r="M36" t="s">
        <v>51</v>
      </c>
      <c r="N36" t="s">
        <v>65</v>
      </c>
      <c r="O36">
        <v>18</v>
      </c>
      <c r="P36">
        <v>10</v>
      </c>
    </row>
    <row r="37" spans="1:16" x14ac:dyDescent="0.35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2">
        <v>20</v>
      </c>
      <c r="K37">
        <v>0</v>
      </c>
      <c r="M37" t="s">
        <v>51</v>
      </c>
      <c r="N37" t="s">
        <v>65</v>
      </c>
      <c r="O37">
        <v>18</v>
      </c>
      <c r="P37">
        <v>2</v>
      </c>
    </row>
    <row r="38" spans="1:16" x14ac:dyDescent="0.35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71</v>
      </c>
      <c r="N38" t="s">
        <v>65</v>
      </c>
      <c r="O38">
        <v>15</v>
      </c>
      <c r="P38">
        <v>6</v>
      </c>
    </row>
    <row r="39" spans="1:16" x14ac:dyDescent="0.35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76</v>
      </c>
      <c r="N39" t="s">
        <v>23</v>
      </c>
      <c r="O39">
        <v>10</v>
      </c>
      <c r="P39">
        <v>9</v>
      </c>
    </row>
    <row r="40" spans="1:16" x14ac:dyDescent="0.35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>
        <v>50</v>
      </c>
      <c r="J40">
        <v>3.2</v>
      </c>
      <c r="K40" t="s">
        <v>75</v>
      </c>
      <c r="M40" t="s">
        <v>71</v>
      </c>
      <c r="N40" t="s">
        <v>23</v>
      </c>
      <c r="O40">
        <v>13</v>
      </c>
      <c r="P40">
        <v>3</v>
      </c>
    </row>
    <row r="41" spans="1:16" x14ac:dyDescent="0.35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71</v>
      </c>
      <c r="N41" t="s">
        <v>23</v>
      </c>
      <c r="O41">
        <v>9</v>
      </c>
      <c r="P41">
        <v>3</v>
      </c>
    </row>
    <row r="42" spans="1:16" x14ac:dyDescent="0.35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t="s">
        <v>106</v>
      </c>
      <c r="J42">
        <v>0</v>
      </c>
      <c r="K42" t="s">
        <v>166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71</v>
      </c>
      <c r="N43" t="s">
        <v>31</v>
      </c>
      <c r="O43">
        <v>5</v>
      </c>
      <c r="P43">
        <v>1</v>
      </c>
    </row>
    <row r="44" spans="1:16" x14ac:dyDescent="0.35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2">
        <v>50</v>
      </c>
      <c r="J44">
        <v>0</v>
      </c>
      <c r="K44" t="s">
        <v>166</v>
      </c>
      <c r="M44" t="s">
        <v>51</v>
      </c>
      <c r="N44" t="s">
        <v>65</v>
      </c>
      <c r="O44">
        <v>7</v>
      </c>
      <c r="P44">
        <v>6</v>
      </c>
    </row>
    <row r="45" spans="1:16" x14ac:dyDescent="0.35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>
        <v>20</v>
      </c>
      <c r="J45">
        <v>2.8</v>
      </c>
      <c r="K45" t="b">
        <v>1</v>
      </c>
      <c r="L45" s="1">
        <v>0.63</v>
      </c>
      <c r="M45" t="s">
        <v>71</v>
      </c>
      <c r="N45" t="s">
        <v>65</v>
      </c>
      <c r="O45">
        <v>1</v>
      </c>
      <c r="P45">
        <v>1</v>
      </c>
    </row>
    <row r="46" spans="1:16" x14ac:dyDescent="0.35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51</v>
      </c>
      <c r="N46" t="s">
        <v>23</v>
      </c>
      <c r="O46">
        <v>17</v>
      </c>
      <c r="P46">
        <v>15</v>
      </c>
    </row>
    <row r="47" spans="1:16" x14ac:dyDescent="0.35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51</v>
      </c>
      <c r="N47" t="s">
        <v>65</v>
      </c>
      <c r="O47">
        <v>13</v>
      </c>
      <c r="P47">
        <v>8</v>
      </c>
    </row>
    <row r="48" spans="1:16" x14ac:dyDescent="0.35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t="s">
        <v>117</v>
      </c>
      <c r="J48">
        <v>4.5</v>
      </c>
      <c r="K48">
        <v>1</v>
      </c>
      <c r="L48" s="1">
        <v>0.85</v>
      </c>
      <c r="M48" t="s">
        <v>51</v>
      </c>
      <c r="N48" t="s">
        <v>65</v>
      </c>
      <c r="O48">
        <v>12</v>
      </c>
      <c r="P48">
        <v>4</v>
      </c>
    </row>
    <row r="49" spans="1:16" x14ac:dyDescent="0.35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76</v>
      </c>
      <c r="N49" t="s">
        <v>31</v>
      </c>
      <c r="O49">
        <v>4</v>
      </c>
      <c r="P49">
        <v>3</v>
      </c>
    </row>
    <row r="50" spans="1:16" x14ac:dyDescent="0.35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51</v>
      </c>
      <c r="N51" t="s">
        <v>31</v>
      </c>
      <c r="O51">
        <v>2</v>
      </c>
      <c r="P51">
        <v>1</v>
      </c>
    </row>
    <row r="52" spans="1:16" x14ac:dyDescent="0.35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51</v>
      </c>
      <c r="N52" t="s">
        <v>38</v>
      </c>
      <c r="O52">
        <v>2</v>
      </c>
      <c r="P52">
        <v>5</v>
      </c>
    </row>
    <row r="53" spans="1:16" x14ac:dyDescent="0.35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>
        <v>50</v>
      </c>
      <c r="J53">
        <v>3.4</v>
      </c>
      <c r="K53">
        <v>0</v>
      </c>
      <c r="M53" t="s">
        <v>76</v>
      </c>
      <c r="N53" t="s">
        <v>38</v>
      </c>
      <c r="O53">
        <v>11</v>
      </c>
      <c r="P53">
        <v>3</v>
      </c>
    </row>
    <row r="54" spans="1:16" x14ac:dyDescent="0.35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>
        <v>75</v>
      </c>
      <c r="J54">
        <v>3.3</v>
      </c>
      <c r="L54" s="1">
        <v>0.68</v>
      </c>
      <c r="M54" t="s">
        <v>51</v>
      </c>
      <c r="N54" t="s">
        <v>38</v>
      </c>
      <c r="O54">
        <v>17</v>
      </c>
      <c r="P54">
        <v>8</v>
      </c>
    </row>
    <row r="55" spans="1:16" x14ac:dyDescent="0.35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71</v>
      </c>
      <c r="N55" t="s">
        <v>23</v>
      </c>
      <c r="O55">
        <v>1</v>
      </c>
      <c r="P55">
        <v>2</v>
      </c>
    </row>
    <row r="56" spans="1:16" x14ac:dyDescent="0.35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71</v>
      </c>
      <c r="N56" t="s">
        <v>65</v>
      </c>
      <c r="O56">
        <v>7</v>
      </c>
      <c r="P56">
        <v>7</v>
      </c>
    </row>
    <row r="57" spans="1:16" x14ac:dyDescent="0.35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51</v>
      </c>
      <c r="N58" t="s">
        <v>23</v>
      </c>
      <c r="O58">
        <v>7</v>
      </c>
      <c r="P58">
        <v>5</v>
      </c>
    </row>
    <row r="59" spans="1:16" x14ac:dyDescent="0.35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t="s">
        <v>61</v>
      </c>
      <c r="J59">
        <v>4</v>
      </c>
      <c r="K59" t="b">
        <v>1</v>
      </c>
      <c r="L59" s="1">
        <v>0.9</v>
      </c>
      <c r="M59" t="s">
        <v>76</v>
      </c>
      <c r="N59" t="s">
        <v>65</v>
      </c>
      <c r="O59">
        <v>16</v>
      </c>
      <c r="P59">
        <v>11</v>
      </c>
    </row>
    <row r="60" spans="1:16" x14ac:dyDescent="0.35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71</v>
      </c>
      <c r="N60" t="s">
        <v>31</v>
      </c>
      <c r="O60">
        <v>2</v>
      </c>
      <c r="P60">
        <v>4</v>
      </c>
    </row>
    <row r="61" spans="1:16" x14ac:dyDescent="0.35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76</v>
      </c>
      <c r="N61" t="s">
        <v>38</v>
      </c>
      <c r="O61">
        <v>13</v>
      </c>
      <c r="P61">
        <v>6</v>
      </c>
    </row>
    <row r="62" spans="1:16" x14ac:dyDescent="0.35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2">
        <v>75</v>
      </c>
      <c r="J62">
        <v>0</v>
      </c>
      <c r="K62" t="b">
        <v>1</v>
      </c>
      <c r="M62" t="s">
        <v>76</v>
      </c>
      <c r="N62" t="s">
        <v>31</v>
      </c>
      <c r="O62">
        <v>14</v>
      </c>
      <c r="P62">
        <v>8</v>
      </c>
    </row>
    <row r="63" spans="1:16" x14ac:dyDescent="0.35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71</v>
      </c>
      <c r="N63" t="s">
        <v>38</v>
      </c>
      <c r="O63">
        <v>11</v>
      </c>
      <c r="P63">
        <v>8</v>
      </c>
    </row>
    <row r="64" spans="1:16" x14ac:dyDescent="0.35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2">
        <v>20</v>
      </c>
      <c r="J64">
        <v>2.2999999999999998</v>
      </c>
      <c r="K64" t="s">
        <v>75</v>
      </c>
      <c r="L64" s="1">
        <v>0.93</v>
      </c>
      <c r="M64" t="s">
        <v>76</v>
      </c>
      <c r="N64" t="s">
        <v>23</v>
      </c>
      <c r="O64">
        <v>15</v>
      </c>
      <c r="P64">
        <v>5</v>
      </c>
    </row>
    <row r="65" spans="1:16" x14ac:dyDescent="0.35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t="s">
        <v>106</v>
      </c>
      <c r="J65">
        <v>4.7</v>
      </c>
      <c r="K65" t="s">
        <v>166</v>
      </c>
      <c r="L65" s="1">
        <v>0.7</v>
      </c>
      <c r="M65" t="s">
        <v>71</v>
      </c>
      <c r="N65" t="s">
        <v>38</v>
      </c>
      <c r="O65">
        <v>17</v>
      </c>
      <c r="P65">
        <v>13</v>
      </c>
    </row>
    <row r="66" spans="1:16" x14ac:dyDescent="0.35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t="s">
        <v>76</v>
      </c>
      <c r="N66" t="s">
        <v>23</v>
      </c>
      <c r="O66">
        <v>13</v>
      </c>
      <c r="P66">
        <v>8</v>
      </c>
    </row>
    <row r="67" spans="1:16" x14ac:dyDescent="0.35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71</v>
      </c>
      <c r="N67" t="s">
        <v>31</v>
      </c>
      <c r="O67">
        <v>14</v>
      </c>
      <c r="P67">
        <v>12</v>
      </c>
    </row>
    <row r="68" spans="1:16" x14ac:dyDescent="0.35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t="s">
        <v>58</v>
      </c>
      <c r="J68">
        <v>4</v>
      </c>
      <c r="K68" t="s">
        <v>37</v>
      </c>
      <c r="L68" s="1">
        <v>1</v>
      </c>
      <c r="M68" t="s">
        <v>51</v>
      </c>
      <c r="N68" t="s">
        <v>23</v>
      </c>
      <c r="O68">
        <v>9</v>
      </c>
      <c r="P68">
        <v>2</v>
      </c>
    </row>
    <row r="69" spans="1:16" x14ac:dyDescent="0.35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2">
        <v>40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5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>
        <v>100</v>
      </c>
      <c r="J70">
        <v>1.5</v>
      </c>
      <c r="K70" t="b">
        <v>0</v>
      </c>
      <c r="M70" t="s">
        <v>71</v>
      </c>
      <c r="N70" t="s">
        <v>65</v>
      </c>
      <c r="O70">
        <v>8</v>
      </c>
      <c r="P70">
        <v>2</v>
      </c>
    </row>
    <row r="71" spans="1:16" x14ac:dyDescent="0.35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2">
        <v>20</v>
      </c>
      <c r="J71">
        <v>2</v>
      </c>
      <c r="K71" t="s">
        <v>166</v>
      </c>
      <c r="L71" s="1">
        <v>0.71</v>
      </c>
      <c r="M71" t="s">
        <v>71</v>
      </c>
      <c r="N71" t="s">
        <v>65</v>
      </c>
      <c r="O71">
        <v>19</v>
      </c>
      <c r="P71">
        <v>7</v>
      </c>
    </row>
    <row r="72" spans="1:16" x14ac:dyDescent="0.35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t="s">
        <v>22</v>
      </c>
      <c r="N72" t="s">
        <v>65</v>
      </c>
      <c r="O72">
        <v>6</v>
      </c>
      <c r="P72">
        <v>3</v>
      </c>
    </row>
    <row r="73" spans="1:16" x14ac:dyDescent="0.35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t="s">
        <v>106</v>
      </c>
      <c r="J73">
        <v>1</v>
      </c>
      <c r="K73" t="b">
        <v>0</v>
      </c>
      <c r="M73" t="s">
        <v>71</v>
      </c>
      <c r="N73" t="s">
        <v>23</v>
      </c>
      <c r="O73">
        <v>15</v>
      </c>
      <c r="P73">
        <v>1</v>
      </c>
    </row>
    <row r="74" spans="1:16" x14ac:dyDescent="0.35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2">
        <v>100</v>
      </c>
      <c r="J74">
        <v>4.5</v>
      </c>
      <c r="K74" t="s">
        <v>75</v>
      </c>
      <c r="L74" s="1">
        <v>0.69</v>
      </c>
      <c r="M74" t="s">
        <v>71</v>
      </c>
      <c r="N74" t="s">
        <v>65</v>
      </c>
      <c r="O74">
        <v>11</v>
      </c>
      <c r="P74">
        <v>10</v>
      </c>
    </row>
    <row r="75" spans="1:16" x14ac:dyDescent="0.35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76</v>
      </c>
      <c r="N75" t="s">
        <v>38</v>
      </c>
      <c r="O75">
        <v>5</v>
      </c>
      <c r="P75">
        <v>1</v>
      </c>
    </row>
    <row r="76" spans="1:16" x14ac:dyDescent="0.35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2">
        <v>100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>
        <v>30</v>
      </c>
      <c r="J77">
        <v>1.9</v>
      </c>
      <c r="K77" t="b">
        <v>1</v>
      </c>
      <c r="L77" s="1">
        <v>0.96</v>
      </c>
      <c r="M77" t="s">
        <v>51</v>
      </c>
      <c r="N77" t="s">
        <v>31</v>
      </c>
      <c r="O77">
        <v>2</v>
      </c>
      <c r="P77">
        <v>2</v>
      </c>
    </row>
    <row r="78" spans="1:16" x14ac:dyDescent="0.35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t="s">
        <v>58</v>
      </c>
      <c r="J78">
        <v>4</v>
      </c>
      <c r="K78">
        <v>1</v>
      </c>
      <c r="L78">
        <v>96</v>
      </c>
      <c r="M78" t="s">
        <v>71</v>
      </c>
      <c r="N78" t="s">
        <v>38</v>
      </c>
      <c r="O78">
        <v>14</v>
      </c>
      <c r="P78">
        <v>5</v>
      </c>
    </row>
    <row r="79" spans="1:16" x14ac:dyDescent="0.35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t="s">
        <v>61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76</v>
      </c>
      <c r="N80" t="s">
        <v>23</v>
      </c>
      <c r="O80">
        <v>14</v>
      </c>
      <c r="P80">
        <v>6</v>
      </c>
    </row>
    <row r="81" spans="1:16" x14ac:dyDescent="0.35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2">
        <v>100</v>
      </c>
      <c r="J81">
        <v>4.5999999999999996</v>
      </c>
      <c r="K81" t="b">
        <v>0</v>
      </c>
      <c r="M81" t="s">
        <v>51</v>
      </c>
      <c r="N81" t="s">
        <v>31</v>
      </c>
      <c r="O81">
        <v>20</v>
      </c>
      <c r="P81">
        <v>3</v>
      </c>
    </row>
    <row r="82" spans="1:16" x14ac:dyDescent="0.35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65</v>
      </c>
      <c r="O82">
        <v>10</v>
      </c>
      <c r="P82">
        <v>2</v>
      </c>
    </row>
    <row r="83" spans="1:16" x14ac:dyDescent="0.35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t="s">
        <v>61</v>
      </c>
      <c r="J83">
        <v>4.4000000000000004</v>
      </c>
      <c r="L83">
        <v>81</v>
      </c>
      <c r="M83" t="s">
        <v>51</v>
      </c>
      <c r="N83" t="s">
        <v>23</v>
      </c>
      <c r="O83">
        <v>11</v>
      </c>
      <c r="P83">
        <v>8</v>
      </c>
    </row>
    <row r="84" spans="1:16" x14ac:dyDescent="0.35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51</v>
      </c>
      <c r="N84" t="s">
        <v>23</v>
      </c>
      <c r="O84">
        <v>1</v>
      </c>
      <c r="P84">
        <v>1</v>
      </c>
    </row>
    <row r="85" spans="1:16" x14ac:dyDescent="0.35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51</v>
      </c>
      <c r="N85" t="s">
        <v>38</v>
      </c>
      <c r="O85">
        <v>2</v>
      </c>
      <c r="P85">
        <v>1</v>
      </c>
    </row>
    <row r="86" spans="1:16" x14ac:dyDescent="0.35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2">
        <v>40</v>
      </c>
      <c r="J86">
        <v>0</v>
      </c>
      <c r="K86" t="b">
        <v>1</v>
      </c>
      <c r="M86" t="s">
        <v>71</v>
      </c>
      <c r="N86" t="s">
        <v>38</v>
      </c>
      <c r="O86">
        <v>13</v>
      </c>
      <c r="P86">
        <v>13</v>
      </c>
    </row>
    <row r="87" spans="1:16" x14ac:dyDescent="0.35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>
        <v>100</v>
      </c>
      <c r="J87">
        <v>2.6</v>
      </c>
      <c r="K87" t="s">
        <v>82</v>
      </c>
      <c r="L87" s="1">
        <v>0.85</v>
      </c>
      <c r="M87" t="s">
        <v>71</v>
      </c>
      <c r="N87" t="s">
        <v>65</v>
      </c>
      <c r="O87">
        <v>5</v>
      </c>
      <c r="P87">
        <v>3</v>
      </c>
    </row>
    <row r="88" spans="1:16" x14ac:dyDescent="0.35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2">
        <v>75</v>
      </c>
      <c r="J88">
        <v>3.7</v>
      </c>
      <c r="K88" t="s">
        <v>37</v>
      </c>
      <c r="M88" t="s">
        <v>76</v>
      </c>
      <c r="N88" t="s">
        <v>23</v>
      </c>
      <c r="O88">
        <v>1</v>
      </c>
      <c r="P88">
        <v>1</v>
      </c>
    </row>
    <row r="89" spans="1:16" x14ac:dyDescent="0.35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76</v>
      </c>
      <c r="N89" t="s">
        <v>23</v>
      </c>
      <c r="O89">
        <v>20</v>
      </c>
      <c r="P89">
        <v>9</v>
      </c>
    </row>
    <row r="90" spans="1:16" x14ac:dyDescent="0.35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76</v>
      </c>
      <c r="N91" t="s">
        <v>23</v>
      </c>
      <c r="O91">
        <v>9</v>
      </c>
      <c r="P91">
        <v>3</v>
      </c>
    </row>
    <row r="92" spans="1:16" x14ac:dyDescent="0.35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t="s">
        <v>30</v>
      </c>
      <c r="J92">
        <v>1.6</v>
      </c>
      <c r="K92" t="s">
        <v>75</v>
      </c>
      <c r="L92" s="1">
        <v>0.97</v>
      </c>
      <c r="M92" t="s">
        <v>51</v>
      </c>
      <c r="N92" t="s">
        <v>31</v>
      </c>
      <c r="O92">
        <v>4</v>
      </c>
      <c r="P92">
        <v>2</v>
      </c>
    </row>
    <row r="93" spans="1:16" x14ac:dyDescent="0.35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51</v>
      </c>
      <c r="N93" t="s">
        <v>38</v>
      </c>
      <c r="O93">
        <v>11</v>
      </c>
      <c r="P93">
        <v>9</v>
      </c>
    </row>
    <row r="94" spans="1:16" x14ac:dyDescent="0.35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t="s">
        <v>30</v>
      </c>
      <c r="K94" t="s">
        <v>82</v>
      </c>
      <c r="L94" s="1">
        <v>0.97</v>
      </c>
      <c r="M94" t="s">
        <v>71</v>
      </c>
      <c r="N94" t="s">
        <v>65</v>
      </c>
      <c r="O94">
        <v>20</v>
      </c>
      <c r="P94">
        <v>10</v>
      </c>
    </row>
    <row r="95" spans="1:16" x14ac:dyDescent="0.35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t="s">
        <v>117</v>
      </c>
      <c r="J95">
        <v>3.8</v>
      </c>
      <c r="K95" t="s">
        <v>75</v>
      </c>
      <c r="L95" s="1">
        <v>0.81</v>
      </c>
      <c r="M95" t="s">
        <v>51</v>
      </c>
      <c r="N95" t="s">
        <v>38</v>
      </c>
      <c r="O95">
        <v>3</v>
      </c>
      <c r="P95">
        <v>2</v>
      </c>
    </row>
    <row r="96" spans="1:16" x14ac:dyDescent="0.35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>
        <v>20</v>
      </c>
      <c r="J97">
        <v>1.3</v>
      </c>
      <c r="K97" t="s">
        <v>82</v>
      </c>
      <c r="L97" s="1">
        <v>0.64</v>
      </c>
      <c r="M97" t="s">
        <v>51</v>
      </c>
      <c r="N97" t="s">
        <v>65</v>
      </c>
      <c r="O97">
        <v>2</v>
      </c>
      <c r="P97">
        <v>2</v>
      </c>
    </row>
    <row r="98" spans="1:16" x14ac:dyDescent="0.35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51</v>
      </c>
      <c r="N98" t="s">
        <v>38</v>
      </c>
      <c r="O98">
        <v>14</v>
      </c>
      <c r="P98">
        <v>8</v>
      </c>
    </row>
    <row r="99" spans="1:16" x14ac:dyDescent="0.35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2">
        <v>20</v>
      </c>
      <c r="J100">
        <v>1.1000000000000001</v>
      </c>
      <c r="K100" t="s">
        <v>166</v>
      </c>
      <c r="L100" s="1">
        <v>0.74</v>
      </c>
      <c r="M100" t="s">
        <v>76</v>
      </c>
      <c r="N100" t="s">
        <v>31</v>
      </c>
      <c r="O100">
        <v>2</v>
      </c>
      <c r="P100">
        <v>1</v>
      </c>
    </row>
    <row r="101" spans="1:16" x14ac:dyDescent="0.35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76</v>
      </c>
      <c r="N101" t="s">
        <v>38</v>
      </c>
      <c r="O101">
        <v>8</v>
      </c>
      <c r="P101">
        <v>12</v>
      </c>
    </row>
    <row r="102" spans="1:16" x14ac:dyDescent="0.35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71</v>
      </c>
      <c r="N103" t="s">
        <v>31</v>
      </c>
      <c r="O103">
        <v>5</v>
      </c>
      <c r="P103">
        <v>1</v>
      </c>
    </row>
    <row r="104" spans="1:16" x14ac:dyDescent="0.35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51</v>
      </c>
      <c r="N104" t="s">
        <v>31</v>
      </c>
      <c r="O104">
        <v>13</v>
      </c>
      <c r="P104">
        <v>6</v>
      </c>
    </row>
    <row r="105" spans="1:16" x14ac:dyDescent="0.35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2">
        <v>50</v>
      </c>
      <c r="J105">
        <v>4.9000000000000004</v>
      </c>
      <c r="K105" t="s">
        <v>75</v>
      </c>
      <c r="L105" s="1">
        <v>0.68</v>
      </c>
      <c r="M105" t="s">
        <v>22</v>
      </c>
      <c r="N105" t="s">
        <v>65</v>
      </c>
      <c r="O105">
        <v>2</v>
      </c>
      <c r="P105">
        <v>3</v>
      </c>
    </row>
    <row r="106" spans="1:16" x14ac:dyDescent="0.35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2">
        <v>30</v>
      </c>
      <c r="K106" t="s">
        <v>166</v>
      </c>
      <c r="L106" s="1">
        <v>0.88</v>
      </c>
      <c r="M106" t="s">
        <v>51</v>
      </c>
      <c r="N106" t="s">
        <v>31</v>
      </c>
      <c r="O106">
        <v>2</v>
      </c>
      <c r="P106">
        <v>4</v>
      </c>
    </row>
    <row r="107" spans="1:16" x14ac:dyDescent="0.35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71</v>
      </c>
      <c r="N107" t="s">
        <v>31</v>
      </c>
      <c r="O107">
        <v>13</v>
      </c>
      <c r="P107">
        <v>10</v>
      </c>
    </row>
    <row r="108" spans="1:16" x14ac:dyDescent="0.35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t="s">
        <v>51</v>
      </c>
      <c r="N108" t="s">
        <v>31</v>
      </c>
      <c r="O108">
        <v>3</v>
      </c>
      <c r="P108">
        <v>4</v>
      </c>
    </row>
    <row r="109" spans="1:16" x14ac:dyDescent="0.35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65</v>
      </c>
      <c r="O109">
        <v>12</v>
      </c>
      <c r="P109">
        <v>6</v>
      </c>
    </row>
    <row r="110" spans="1:16" x14ac:dyDescent="0.35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82</v>
      </c>
      <c r="L110" s="1">
        <v>0.6</v>
      </c>
      <c r="M110" t="s">
        <v>51</v>
      </c>
      <c r="N110" t="s">
        <v>38</v>
      </c>
      <c r="O110">
        <v>2</v>
      </c>
      <c r="P110">
        <v>1</v>
      </c>
    </row>
    <row r="111" spans="1:16" x14ac:dyDescent="0.35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2">
        <v>30</v>
      </c>
      <c r="J111">
        <v>3.5</v>
      </c>
      <c r="L111">
        <v>72</v>
      </c>
      <c r="M111" t="s">
        <v>76</v>
      </c>
      <c r="N111" t="s">
        <v>23</v>
      </c>
      <c r="O111">
        <v>15</v>
      </c>
      <c r="P111">
        <v>9</v>
      </c>
    </row>
    <row r="112" spans="1:16" x14ac:dyDescent="0.35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>
        <v>30</v>
      </c>
      <c r="K112" t="s">
        <v>37</v>
      </c>
      <c r="L112" s="1">
        <v>0.92</v>
      </c>
      <c r="M112" t="s">
        <v>71</v>
      </c>
      <c r="N112" t="s">
        <v>31</v>
      </c>
      <c r="O112">
        <v>3</v>
      </c>
      <c r="P112">
        <v>3</v>
      </c>
    </row>
    <row r="113" spans="1:16" x14ac:dyDescent="0.35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t="s">
        <v>106</v>
      </c>
      <c r="J113">
        <v>3.4</v>
      </c>
      <c r="K113">
        <v>1</v>
      </c>
      <c r="M113" t="s">
        <v>71</v>
      </c>
      <c r="N113" t="s">
        <v>38</v>
      </c>
      <c r="O113">
        <v>11</v>
      </c>
      <c r="P113">
        <v>4</v>
      </c>
    </row>
    <row r="114" spans="1:16" x14ac:dyDescent="0.35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t="s">
        <v>58</v>
      </c>
      <c r="J114">
        <v>2.5</v>
      </c>
      <c r="L114" s="1">
        <v>0.92</v>
      </c>
      <c r="M114" t="s">
        <v>71</v>
      </c>
      <c r="N114" t="s">
        <v>31</v>
      </c>
      <c r="O114">
        <v>13</v>
      </c>
      <c r="P114">
        <v>1</v>
      </c>
    </row>
    <row r="115" spans="1:16" x14ac:dyDescent="0.35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2">
        <v>30</v>
      </c>
      <c r="J115">
        <v>1.1000000000000001</v>
      </c>
      <c r="K115" t="b">
        <v>1</v>
      </c>
      <c r="M115" t="s">
        <v>22</v>
      </c>
      <c r="N115" t="s">
        <v>65</v>
      </c>
      <c r="O115">
        <v>2</v>
      </c>
      <c r="P115">
        <v>1</v>
      </c>
    </row>
    <row r="116" spans="1:16" x14ac:dyDescent="0.35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t="s">
        <v>319</v>
      </c>
      <c r="J116">
        <v>4.8</v>
      </c>
      <c r="M116" t="s">
        <v>71</v>
      </c>
      <c r="N116" t="s">
        <v>38</v>
      </c>
      <c r="O116">
        <v>7</v>
      </c>
      <c r="P116">
        <v>10</v>
      </c>
    </row>
    <row r="117" spans="1:16" x14ac:dyDescent="0.35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2">
        <v>30</v>
      </c>
      <c r="K117">
        <v>0</v>
      </c>
      <c r="L117" s="1">
        <v>0.86</v>
      </c>
      <c r="M117" t="s">
        <v>76</v>
      </c>
      <c r="N117" t="s">
        <v>65</v>
      </c>
      <c r="O117">
        <v>3</v>
      </c>
      <c r="P117">
        <v>1</v>
      </c>
    </row>
    <row r="118" spans="1:16" x14ac:dyDescent="0.35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t="s">
        <v>61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t="s">
        <v>319</v>
      </c>
      <c r="J119">
        <v>3.2</v>
      </c>
      <c r="K119">
        <v>1</v>
      </c>
      <c r="L119" s="1">
        <v>0.62</v>
      </c>
      <c r="M119" t="s">
        <v>76</v>
      </c>
      <c r="N119" t="s">
        <v>31</v>
      </c>
      <c r="O119">
        <v>9</v>
      </c>
      <c r="P119">
        <v>3</v>
      </c>
    </row>
    <row r="120" spans="1:16" x14ac:dyDescent="0.35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>
        <v>20</v>
      </c>
      <c r="J120">
        <v>3.2</v>
      </c>
      <c r="K120" t="b">
        <v>0</v>
      </c>
      <c r="M120" t="s">
        <v>51</v>
      </c>
      <c r="N120" t="s">
        <v>65</v>
      </c>
      <c r="O120">
        <v>8</v>
      </c>
      <c r="P120">
        <v>9</v>
      </c>
    </row>
    <row r="121" spans="1:16" x14ac:dyDescent="0.35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>
        <v>30</v>
      </c>
      <c r="J121">
        <v>0</v>
      </c>
      <c r="K121" t="s">
        <v>82</v>
      </c>
      <c r="L121" s="1">
        <v>0.82</v>
      </c>
      <c r="M121" t="s">
        <v>51</v>
      </c>
      <c r="N121" t="s">
        <v>23</v>
      </c>
      <c r="O121">
        <v>5</v>
      </c>
      <c r="P121">
        <v>3</v>
      </c>
    </row>
    <row r="122" spans="1:16" x14ac:dyDescent="0.35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>
        <v>75</v>
      </c>
      <c r="K122">
        <v>1</v>
      </c>
      <c r="M122" t="s">
        <v>51</v>
      </c>
      <c r="N122" t="s">
        <v>65</v>
      </c>
      <c r="O122">
        <v>14</v>
      </c>
      <c r="P122">
        <v>4</v>
      </c>
    </row>
    <row r="123" spans="1:16" x14ac:dyDescent="0.35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51</v>
      </c>
      <c r="N123" t="s">
        <v>31</v>
      </c>
      <c r="O123">
        <v>3</v>
      </c>
      <c r="P123">
        <v>1</v>
      </c>
    </row>
    <row r="124" spans="1:16" x14ac:dyDescent="0.35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t="s">
        <v>106</v>
      </c>
      <c r="J124">
        <v>1</v>
      </c>
      <c r="K124" t="s">
        <v>82</v>
      </c>
      <c r="L124" s="1">
        <v>0.64</v>
      </c>
      <c r="M124" t="s">
        <v>76</v>
      </c>
      <c r="N124" t="s">
        <v>65</v>
      </c>
      <c r="O124">
        <v>14</v>
      </c>
      <c r="P124">
        <v>5</v>
      </c>
    </row>
    <row r="125" spans="1:16" x14ac:dyDescent="0.35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2">
        <v>50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65</v>
      </c>
      <c r="O126">
        <v>7</v>
      </c>
      <c r="P126">
        <v>9</v>
      </c>
    </row>
    <row r="127" spans="1:16" x14ac:dyDescent="0.35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t="s">
        <v>71</v>
      </c>
      <c r="N127" t="s">
        <v>23</v>
      </c>
      <c r="O127">
        <v>11</v>
      </c>
      <c r="P127">
        <v>5</v>
      </c>
    </row>
    <row r="128" spans="1:16" x14ac:dyDescent="0.35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2">
        <v>100</v>
      </c>
      <c r="J128">
        <v>1.7</v>
      </c>
      <c r="K128" t="s">
        <v>75</v>
      </c>
      <c r="L128" s="1">
        <v>0.64</v>
      </c>
      <c r="M128" t="s">
        <v>76</v>
      </c>
      <c r="N128" t="s">
        <v>23</v>
      </c>
      <c r="O128">
        <v>14</v>
      </c>
      <c r="P128">
        <v>9</v>
      </c>
    </row>
    <row r="129" spans="1:16" x14ac:dyDescent="0.35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51</v>
      </c>
      <c r="N129" t="s">
        <v>65</v>
      </c>
      <c r="O129">
        <v>15</v>
      </c>
      <c r="P129">
        <v>5</v>
      </c>
    </row>
    <row r="130" spans="1:16" x14ac:dyDescent="0.35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76</v>
      </c>
      <c r="N130" t="s">
        <v>65</v>
      </c>
      <c r="O130">
        <v>15</v>
      </c>
      <c r="P130">
        <v>7</v>
      </c>
    </row>
    <row r="131" spans="1:16" x14ac:dyDescent="0.35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>
        <v>40</v>
      </c>
      <c r="J131">
        <v>3.4</v>
      </c>
      <c r="L131" s="1">
        <v>0.67</v>
      </c>
      <c r="M131" t="s">
        <v>71</v>
      </c>
      <c r="N131" t="s">
        <v>38</v>
      </c>
      <c r="O131">
        <v>7</v>
      </c>
      <c r="P131">
        <v>3</v>
      </c>
    </row>
    <row r="132" spans="1:16" x14ac:dyDescent="0.35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t="s">
        <v>30</v>
      </c>
      <c r="J132">
        <v>1.1000000000000001</v>
      </c>
      <c r="K132" t="s">
        <v>166</v>
      </c>
      <c r="L132">
        <v>93</v>
      </c>
      <c r="M132" t="s">
        <v>71</v>
      </c>
      <c r="N132" t="s">
        <v>31</v>
      </c>
      <c r="O132">
        <v>12</v>
      </c>
      <c r="P132">
        <v>12</v>
      </c>
    </row>
    <row r="133" spans="1:16" x14ac:dyDescent="0.35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76</v>
      </c>
      <c r="N133" t="s">
        <v>23</v>
      </c>
      <c r="O133">
        <v>3</v>
      </c>
      <c r="P133">
        <v>2</v>
      </c>
    </row>
    <row r="134" spans="1:16" x14ac:dyDescent="0.35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76</v>
      </c>
      <c r="N134" t="s">
        <v>38</v>
      </c>
      <c r="O134">
        <v>17</v>
      </c>
      <c r="P134">
        <v>6</v>
      </c>
    </row>
    <row r="135" spans="1:16" x14ac:dyDescent="0.35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t="s">
        <v>76</v>
      </c>
      <c r="N135" t="s">
        <v>65</v>
      </c>
      <c r="O135">
        <v>2</v>
      </c>
      <c r="P135">
        <v>1</v>
      </c>
    </row>
    <row r="136" spans="1:16" x14ac:dyDescent="0.35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2">
        <v>100</v>
      </c>
      <c r="J136">
        <v>4</v>
      </c>
      <c r="K136" t="s">
        <v>82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>
        <v>75</v>
      </c>
      <c r="J137">
        <v>1.4</v>
      </c>
      <c r="K137" t="s">
        <v>166</v>
      </c>
      <c r="L137" s="1">
        <v>0.7</v>
      </c>
      <c r="M137" t="s">
        <v>51</v>
      </c>
      <c r="N137" t="s">
        <v>38</v>
      </c>
      <c r="O137">
        <v>10</v>
      </c>
      <c r="P137">
        <v>3</v>
      </c>
    </row>
    <row r="138" spans="1:16" x14ac:dyDescent="0.35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t="s">
        <v>106</v>
      </c>
      <c r="K138">
        <v>1</v>
      </c>
      <c r="L138" s="1">
        <v>0.84</v>
      </c>
      <c r="M138" t="s">
        <v>76</v>
      </c>
      <c r="N138" t="s">
        <v>23</v>
      </c>
      <c r="O138">
        <v>1</v>
      </c>
      <c r="P138">
        <v>3</v>
      </c>
    </row>
    <row r="139" spans="1:16" x14ac:dyDescent="0.35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t="s">
        <v>61</v>
      </c>
      <c r="J139">
        <v>1.2</v>
      </c>
      <c r="K139">
        <v>0</v>
      </c>
      <c r="L139">
        <v>83</v>
      </c>
      <c r="M139" t="s">
        <v>76</v>
      </c>
      <c r="N139" t="s">
        <v>38</v>
      </c>
      <c r="O139">
        <v>4</v>
      </c>
      <c r="P139">
        <v>1</v>
      </c>
    </row>
    <row r="140" spans="1:16" x14ac:dyDescent="0.35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>
        <v>50</v>
      </c>
      <c r="J140">
        <v>0</v>
      </c>
      <c r="K140" t="s">
        <v>37</v>
      </c>
      <c r="M140" t="s">
        <v>76</v>
      </c>
      <c r="N140" t="s">
        <v>23</v>
      </c>
      <c r="O140">
        <v>3</v>
      </c>
      <c r="P140">
        <v>1</v>
      </c>
    </row>
    <row r="141" spans="1:16" x14ac:dyDescent="0.35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71</v>
      </c>
      <c r="N141" t="s">
        <v>65</v>
      </c>
      <c r="O141">
        <v>14</v>
      </c>
      <c r="P141">
        <v>3</v>
      </c>
    </row>
    <row r="142" spans="1:16" x14ac:dyDescent="0.35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>
        <v>50</v>
      </c>
      <c r="J142">
        <v>0</v>
      </c>
      <c r="K142" t="s">
        <v>75</v>
      </c>
      <c r="L142" s="1">
        <v>0.81</v>
      </c>
      <c r="M142" t="s">
        <v>71</v>
      </c>
      <c r="N142" t="s">
        <v>31</v>
      </c>
      <c r="O142">
        <v>10</v>
      </c>
      <c r="P142">
        <v>12</v>
      </c>
    </row>
    <row r="143" spans="1:16" x14ac:dyDescent="0.35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t="s">
        <v>319</v>
      </c>
      <c r="J143">
        <v>2.2000000000000002</v>
      </c>
      <c r="K143" t="s">
        <v>82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51</v>
      </c>
      <c r="N144" t="s">
        <v>31</v>
      </c>
      <c r="O144">
        <v>7</v>
      </c>
      <c r="P144">
        <v>8</v>
      </c>
    </row>
    <row r="145" spans="1:16" x14ac:dyDescent="0.35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2">
        <v>20</v>
      </c>
      <c r="J145">
        <v>0</v>
      </c>
      <c r="K145" t="s">
        <v>37</v>
      </c>
      <c r="L145" s="1">
        <v>0.82</v>
      </c>
      <c r="M145" t="s">
        <v>22</v>
      </c>
      <c r="N145" t="s">
        <v>65</v>
      </c>
      <c r="O145">
        <v>14</v>
      </c>
      <c r="P145">
        <v>6</v>
      </c>
    </row>
    <row r="146" spans="1:16" x14ac:dyDescent="0.35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51</v>
      </c>
      <c r="N146" t="s">
        <v>23</v>
      </c>
      <c r="O146">
        <v>18</v>
      </c>
      <c r="P146">
        <v>13</v>
      </c>
    </row>
    <row r="147" spans="1:16" x14ac:dyDescent="0.35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71</v>
      </c>
      <c r="N147" t="s">
        <v>65</v>
      </c>
      <c r="O147">
        <v>9</v>
      </c>
      <c r="P147">
        <v>11</v>
      </c>
    </row>
    <row r="148" spans="1:16" x14ac:dyDescent="0.35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71</v>
      </c>
      <c r="N148" t="s">
        <v>31</v>
      </c>
      <c r="O148">
        <v>5</v>
      </c>
      <c r="P148">
        <v>1</v>
      </c>
    </row>
    <row r="149" spans="1:16" x14ac:dyDescent="0.35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71</v>
      </c>
      <c r="N149" t="s">
        <v>65</v>
      </c>
      <c r="O149">
        <v>7</v>
      </c>
      <c r="P149">
        <v>2</v>
      </c>
    </row>
    <row r="150" spans="1:16" x14ac:dyDescent="0.35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65</v>
      </c>
      <c r="O150">
        <v>1</v>
      </c>
      <c r="P150">
        <v>2</v>
      </c>
    </row>
    <row r="151" spans="1:16" x14ac:dyDescent="0.35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76</v>
      </c>
      <c r="N151" t="s">
        <v>65</v>
      </c>
      <c r="O151">
        <v>6</v>
      </c>
      <c r="P151">
        <v>8</v>
      </c>
    </row>
    <row r="152" spans="1:16" x14ac:dyDescent="0.35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t="s">
        <v>61</v>
      </c>
      <c r="J152">
        <v>0</v>
      </c>
      <c r="M152" t="s">
        <v>76</v>
      </c>
      <c r="N152" t="s">
        <v>23</v>
      </c>
      <c r="O152">
        <v>6</v>
      </c>
      <c r="P152">
        <v>2</v>
      </c>
    </row>
    <row r="153" spans="1:16" x14ac:dyDescent="0.35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>
        <v>20</v>
      </c>
      <c r="J153">
        <v>2.7</v>
      </c>
      <c r="K153" t="s">
        <v>166</v>
      </c>
      <c r="L153" s="1">
        <v>0.93</v>
      </c>
      <c r="M153" t="s">
        <v>71</v>
      </c>
      <c r="N153" t="s">
        <v>38</v>
      </c>
      <c r="O153">
        <v>13</v>
      </c>
      <c r="P153">
        <v>7</v>
      </c>
    </row>
    <row r="154" spans="1:16" x14ac:dyDescent="0.35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76</v>
      </c>
      <c r="N154" t="s">
        <v>38</v>
      </c>
      <c r="O154">
        <v>11</v>
      </c>
      <c r="P154">
        <v>3</v>
      </c>
    </row>
    <row r="155" spans="1:16" x14ac:dyDescent="0.35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2">
        <v>75</v>
      </c>
      <c r="J155">
        <v>1.1000000000000001</v>
      </c>
      <c r="K155" t="s">
        <v>166</v>
      </c>
      <c r="L155" s="1">
        <v>0.71</v>
      </c>
      <c r="M155" t="s">
        <v>76</v>
      </c>
      <c r="N155" t="s">
        <v>65</v>
      </c>
      <c r="O155">
        <v>19</v>
      </c>
      <c r="P155">
        <v>7</v>
      </c>
    </row>
    <row r="156" spans="1:16" x14ac:dyDescent="0.35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51</v>
      </c>
      <c r="N157" t="s">
        <v>38</v>
      </c>
      <c r="O157">
        <v>8</v>
      </c>
      <c r="P157">
        <v>14</v>
      </c>
    </row>
    <row r="158" spans="1:16" x14ac:dyDescent="0.35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2">
        <v>20</v>
      </c>
      <c r="J158">
        <v>2.2000000000000002</v>
      </c>
      <c r="K158" t="s">
        <v>37</v>
      </c>
      <c r="M158" t="s">
        <v>71</v>
      </c>
      <c r="N158" t="s">
        <v>65</v>
      </c>
      <c r="O158">
        <v>12</v>
      </c>
      <c r="P158">
        <v>5</v>
      </c>
    </row>
    <row r="159" spans="1:16" x14ac:dyDescent="0.35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>
        <v>100</v>
      </c>
      <c r="J159">
        <v>3.2</v>
      </c>
      <c r="K159">
        <v>0</v>
      </c>
      <c r="L159" s="1">
        <v>0.62</v>
      </c>
      <c r="M159" t="s">
        <v>71</v>
      </c>
      <c r="N159" t="s">
        <v>65</v>
      </c>
      <c r="O159">
        <v>4</v>
      </c>
      <c r="P159">
        <v>1</v>
      </c>
    </row>
    <row r="160" spans="1:16" x14ac:dyDescent="0.35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>
        <v>40</v>
      </c>
      <c r="J162">
        <v>4.5</v>
      </c>
      <c r="K162" t="s">
        <v>166</v>
      </c>
      <c r="L162" s="1">
        <v>0.62</v>
      </c>
      <c r="M162" t="s">
        <v>76</v>
      </c>
      <c r="N162" t="s">
        <v>23</v>
      </c>
      <c r="O162">
        <v>15</v>
      </c>
      <c r="P162">
        <v>10</v>
      </c>
    </row>
    <row r="163" spans="1:16" x14ac:dyDescent="0.35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2">
        <v>30</v>
      </c>
      <c r="J163">
        <v>4.0999999999999996</v>
      </c>
      <c r="K163" t="s">
        <v>166</v>
      </c>
      <c r="L163" s="1">
        <v>0.68</v>
      </c>
      <c r="M163" t="s">
        <v>71</v>
      </c>
      <c r="N163" t="s">
        <v>65</v>
      </c>
      <c r="O163">
        <v>15</v>
      </c>
      <c r="P163">
        <v>11</v>
      </c>
    </row>
    <row r="164" spans="1:16" x14ac:dyDescent="0.35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t="s">
        <v>58</v>
      </c>
      <c r="J164">
        <v>0</v>
      </c>
      <c r="K164" t="s">
        <v>166</v>
      </c>
      <c r="M164" t="s">
        <v>51</v>
      </c>
      <c r="N164" t="s">
        <v>31</v>
      </c>
      <c r="O164">
        <v>9</v>
      </c>
      <c r="P164">
        <v>9</v>
      </c>
    </row>
    <row r="165" spans="1:16" x14ac:dyDescent="0.35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t="s">
        <v>58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>
        <v>40</v>
      </c>
      <c r="J166">
        <v>3.7</v>
      </c>
      <c r="L166" s="1">
        <v>0.92</v>
      </c>
      <c r="M166" t="s">
        <v>51</v>
      </c>
      <c r="N166" t="s">
        <v>38</v>
      </c>
      <c r="O166">
        <v>14</v>
      </c>
      <c r="P166">
        <v>9</v>
      </c>
    </row>
    <row r="167" spans="1:16" x14ac:dyDescent="0.35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t="s">
        <v>58</v>
      </c>
      <c r="J167">
        <v>1.3</v>
      </c>
      <c r="K167">
        <v>1</v>
      </c>
      <c r="L167" s="1">
        <v>0.65</v>
      </c>
      <c r="M167" t="s">
        <v>51</v>
      </c>
      <c r="N167" t="s">
        <v>31</v>
      </c>
      <c r="O167">
        <v>1</v>
      </c>
      <c r="P167">
        <v>1</v>
      </c>
    </row>
    <row r="168" spans="1:16" x14ac:dyDescent="0.35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71</v>
      </c>
      <c r="N168" t="s">
        <v>65</v>
      </c>
      <c r="O168">
        <v>13</v>
      </c>
      <c r="P168">
        <v>10</v>
      </c>
    </row>
    <row r="169" spans="1:16" x14ac:dyDescent="0.35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166</v>
      </c>
      <c r="L169" s="1">
        <v>0.7</v>
      </c>
      <c r="M169" t="s">
        <v>71</v>
      </c>
      <c r="N169" t="s">
        <v>23</v>
      </c>
      <c r="O169">
        <v>11</v>
      </c>
      <c r="P169">
        <v>9</v>
      </c>
    </row>
    <row r="170" spans="1:16" x14ac:dyDescent="0.35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>
        <v>40</v>
      </c>
      <c r="J170">
        <v>1.4</v>
      </c>
      <c r="K170" t="s">
        <v>166</v>
      </c>
      <c r="L170">
        <v>87</v>
      </c>
      <c r="M170" t="s">
        <v>22</v>
      </c>
      <c r="N170" t="s">
        <v>65</v>
      </c>
      <c r="O170">
        <v>18</v>
      </c>
      <c r="P170">
        <v>17</v>
      </c>
    </row>
    <row r="171" spans="1:16" x14ac:dyDescent="0.35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71</v>
      </c>
      <c r="N171" t="s">
        <v>38</v>
      </c>
      <c r="O171">
        <v>19</v>
      </c>
      <c r="P171">
        <v>5</v>
      </c>
    </row>
    <row r="172" spans="1:16" x14ac:dyDescent="0.35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71</v>
      </c>
      <c r="N172" t="s">
        <v>23</v>
      </c>
      <c r="O172">
        <v>4</v>
      </c>
      <c r="P172">
        <v>1</v>
      </c>
    </row>
    <row r="173" spans="1:16" x14ac:dyDescent="0.35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71</v>
      </c>
      <c r="N173" t="s">
        <v>38</v>
      </c>
      <c r="O173">
        <v>1</v>
      </c>
      <c r="P173">
        <v>3</v>
      </c>
    </row>
    <row r="174" spans="1:16" x14ac:dyDescent="0.35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t="s">
        <v>61</v>
      </c>
      <c r="J174">
        <v>0</v>
      </c>
      <c r="K174">
        <v>1</v>
      </c>
      <c r="M174" t="s">
        <v>51</v>
      </c>
      <c r="N174" t="s">
        <v>38</v>
      </c>
      <c r="O174">
        <v>14</v>
      </c>
      <c r="P174">
        <v>5</v>
      </c>
    </row>
    <row r="175" spans="1:16" x14ac:dyDescent="0.35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t="s">
        <v>58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>
        <v>20</v>
      </c>
      <c r="L176" s="1">
        <v>0.68</v>
      </c>
      <c r="M176" t="s">
        <v>76</v>
      </c>
      <c r="N176" t="s">
        <v>65</v>
      </c>
      <c r="O176">
        <v>11</v>
      </c>
      <c r="P176">
        <v>5</v>
      </c>
    </row>
    <row r="177" spans="1:16" x14ac:dyDescent="0.35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51</v>
      </c>
      <c r="N177" t="s">
        <v>23</v>
      </c>
      <c r="O177">
        <v>10</v>
      </c>
      <c r="P177">
        <v>4</v>
      </c>
    </row>
    <row r="178" spans="1:16" x14ac:dyDescent="0.35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71</v>
      </c>
      <c r="N178" t="s">
        <v>38</v>
      </c>
      <c r="O178">
        <v>12</v>
      </c>
      <c r="P178">
        <v>10</v>
      </c>
    </row>
    <row r="179" spans="1:16" x14ac:dyDescent="0.35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51</v>
      </c>
      <c r="N179" t="s">
        <v>38</v>
      </c>
      <c r="O179">
        <v>14</v>
      </c>
      <c r="P179">
        <v>3</v>
      </c>
    </row>
    <row r="180" spans="1:16" x14ac:dyDescent="0.35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t="s">
        <v>117</v>
      </c>
      <c r="J180">
        <v>1.5</v>
      </c>
      <c r="K180">
        <v>1</v>
      </c>
      <c r="L180" s="1">
        <v>0.73</v>
      </c>
      <c r="M180" t="s">
        <v>71</v>
      </c>
      <c r="N180" t="s">
        <v>23</v>
      </c>
      <c r="O180">
        <v>15</v>
      </c>
      <c r="P180">
        <v>17</v>
      </c>
    </row>
    <row r="181" spans="1:16" x14ac:dyDescent="0.35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2">
        <v>30</v>
      </c>
      <c r="J181">
        <v>3.7</v>
      </c>
      <c r="K181" t="s">
        <v>166</v>
      </c>
      <c r="L181" s="1">
        <v>0.95</v>
      </c>
      <c r="M181" t="s">
        <v>71</v>
      </c>
      <c r="N181" t="s">
        <v>38</v>
      </c>
      <c r="O181">
        <v>3</v>
      </c>
      <c r="P181">
        <v>1</v>
      </c>
    </row>
    <row r="182" spans="1:16" x14ac:dyDescent="0.35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51</v>
      </c>
      <c r="N182" t="s">
        <v>31</v>
      </c>
      <c r="O182">
        <v>11</v>
      </c>
      <c r="P182">
        <v>6</v>
      </c>
    </row>
    <row r="183" spans="1:16" x14ac:dyDescent="0.35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>
        <v>30</v>
      </c>
      <c r="J184">
        <v>3.5</v>
      </c>
      <c r="K184" t="s">
        <v>166</v>
      </c>
      <c r="L184" s="1">
        <v>0.97</v>
      </c>
      <c r="M184" t="s">
        <v>71</v>
      </c>
      <c r="N184" t="s">
        <v>31</v>
      </c>
      <c r="O184">
        <v>3</v>
      </c>
      <c r="P184">
        <v>1</v>
      </c>
    </row>
    <row r="185" spans="1:16" x14ac:dyDescent="0.35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76</v>
      </c>
      <c r="N186" t="s">
        <v>38</v>
      </c>
      <c r="O186">
        <v>4</v>
      </c>
      <c r="P186">
        <v>1</v>
      </c>
    </row>
    <row r="187" spans="1:16" x14ac:dyDescent="0.35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>
        <v>50</v>
      </c>
      <c r="J187">
        <v>3.3</v>
      </c>
      <c r="K187" t="s">
        <v>82</v>
      </c>
      <c r="L187" s="1">
        <v>0.65</v>
      </c>
      <c r="M187" t="s">
        <v>71</v>
      </c>
      <c r="N187" t="s">
        <v>23</v>
      </c>
      <c r="O187">
        <v>20</v>
      </c>
      <c r="P187">
        <v>4</v>
      </c>
    </row>
    <row r="188" spans="1:16" x14ac:dyDescent="0.35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2">
        <v>20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t="s">
        <v>61</v>
      </c>
      <c r="K190">
        <v>1</v>
      </c>
      <c r="L190" s="1">
        <v>0.88</v>
      </c>
      <c r="M190" t="s">
        <v>76</v>
      </c>
      <c r="N190" t="s">
        <v>23</v>
      </c>
      <c r="O190">
        <v>14</v>
      </c>
      <c r="P190">
        <v>2</v>
      </c>
    </row>
    <row r="191" spans="1:16" x14ac:dyDescent="0.35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t="s">
        <v>22</v>
      </c>
      <c r="N191" t="s">
        <v>65</v>
      </c>
      <c r="O191">
        <v>5</v>
      </c>
      <c r="P191">
        <v>5</v>
      </c>
    </row>
    <row r="192" spans="1:16" x14ac:dyDescent="0.35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166</v>
      </c>
      <c r="L193" s="1">
        <v>0.75</v>
      </c>
      <c r="M193" t="s">
        <v>76</v>
      </c>
      <c r="N193" t="s">
        <v>65</v>
      </c>
      <c r="O193">
        <v>13</v>
      </c>
      <c r="P193">
        <v>1</v>
      </c>
    </row>
    <row r="194" spans="1:16" x14ac:dyDescent="0.35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2">
        <v>30</v>
      </c>
      <c r="J194">
        <v>1.4</v>
      </c>
      <c r="K194" t="b">
        <v>0</v>
      </c>
      <c r="L194" s="1">
        <v>0.74</v>
      </c>
      <c r="M194" t="s">
        <v>71</v>
      </c>
      <c r="N194" t="s">
        <v>65</v>
      </c>
      <c r="O194">
        <v>2</v>
      </c>
      <c r="P194">
        <v>4</v>
      </c>
    </row>
    <row r="195" spans="1:16" x14ac:dyDescent="0.35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2">
        <v>30</v>
      </c>
      <c r="J195">
        <v>4.2</v>
      </c>
      <c r="K195" t="s">
        <v>82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t="s">
        <v>61</v>
      </c>
      <c r="J196">
        <v>3.6</v>
      </c>
      <c r="K196">
        <v>1</v>
      </c>
      <c r="L196" s="1">
        <v>0.89</v>
      </c>
      <c r="M196" t="s">
        <v>22</v>
      </c>
      <c r="N196" t="s">
        <v>65</v>
      </c>
      <c r="O196">
        <v>17</v>
      </c>
      <c r="P196">
        <v>2</v>
      </c>
    </row>
    <row r="197" spans="1:16" x14ac:dyDescent="0.35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2">
        <v>100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5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2">
        <v>100</v>
      </c>
      <c r="J198">
        <v>2</v>
      </c>
      <c r="K198" t="s">
        <v>166</v>
      </c>
      <c r="M198" t="s">
        <v>51</v>
      </c>
      <c r="N198" t="s">
        <v>65</v>
      </c>
      <c r="O198">
        <v>13</v>
      </c>
      <c r="P198">
        <v>1</v>
      </c>
    </row>
    <row r="199" spans="1:16" x14ac:dyDescent="0.35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76</v>
      </c>
      <c r="N199" t="s">
        <v>31</v>
      </c>
      <c r="O199">
        <v>9</v>
      </c>
      <c r="P199">
        <v>2</v>
      </c>
    </row>
    <row r="200" spans="1:16" x14ac:dyDescent="0.35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2">
        <v>100</v>
      </c>
      <c r="J200">
        <v>4.9000000000000004</v>
      </c>
      <c r="K200" t="s">
        <v>82</v>
      </c>
      <c r="L200" s="1">
        <v>0.86</v>
      </c>
      <c r="M200" t="s">
        <v>51</v>
      </c>
      <c r="N200" t="s">
        <v>65</v>
      </c>
      <c r="O200">
        <v>12</v>
      </c>
      <c r="P200">
        <v>3</v>
      </c>
    </row>
    <row r="201" spans="1:16" x14ac:dyDescent="0.35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>
        <v>100</v>
      </c>
      <c r="J201">
        <v>3.5</v>
      </c>
      <c r="K201" t="s">
        <v>82</v>
      </c>
      <c r="L201" s="1">
        <v>0.82</v>
      </c>
      <c r="M201" t="s">
        <v>76</v>
      </c>
      <c r="N201" t="s">
        <v>38</v>
      </c>
      <c r="O201">
        <v>12</v>
      </c>
      <c r="P201">
        <v>2</v>
      </c>
    </row>
    <row r="202" spans="1:16" x14ac:dyDescent="0.35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>
        <v>100</v>
      </c>
      <c r="J202">
        <v>2.5</v>
      </c>
      <c r="K202" t="s">
        <v>166</v>
      </c>
      <c r="L202">
        <v>87</v>
      </c>
      <c r="M202" t="s">
        <v>71</v>
      </c>
      <c r="N202" t="s">
        <v>38</v>
      </c>
      <c r="O202">
        <v>1</v>
      </c>
      <c r="P202">
        <v>1</v>
      </c>
    </row>
    <row r="203" spans="1:16" x14ac:dyDescent="0.35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71</v>
      </c>
      <c r="N203" t="s">
        <v>38</v>
      </c>
      <c r="O203">
        <v>14</v>
      </c>
      <c r="P203">
        <v>4</v>
      </c>
    </row>
    <row r="204" spans="1:16" x14ac:dyDescent="0.35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t="s">
        <v>30</v>
      </c>
      <c r="J204">
        <v>4.5999999999999996</v>
      </c>
      <c r="K204" t="s">
        <v>82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76</v>
      </c>
      <c r="N205" t="s">
        <v>31</v>
      </c>
      <c r="O205">
        <v>6</v>
      </c>
      <c r="P205">
        <v>9</v>
      </c>
    </row>
    <row r="206" spans="1:16" x14ac:dyDescent="0.35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71</v>
      </c>
      <c r="N206" t="s">
        <v>23</v>
      </c>
      <c r="O206">
        <v>19</v>
      </c>
      <c r="P206">
        <v>2</v>
      </c>
    </row>
    <row r="207" spans="1:16" x14ac:dyDescent="0.35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76</v>
      </c>
      <c r="N207" t="s">
        <v>31</v>
      </c>
      <c r="O207">
        <v>4</v>
      </c>
      <c r="P207">
        <v>1</v>
      </c>
    </row>
    <row r="208" spans="1:16" x14ac:dyDescent="0.35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71</v>
      </c>
      <c r="N208" t="s">
        <v>38</v>
      </c>
      <c r="O208">
        <v>1</v>
      </c>
      <c r="P208">
        <v>5</v>
      </c>
    </row>
    <row r="209" spans="1:16" x14ac:dyDescent="0.35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51</v>
      </c>
      <c r="N209" t="s">
        <v>38</v>
      </c>
      <c r="O209">
        <v>11</v>
      </c>
      <c r="P209">
        <v>1</v>
      </c>
    </row>
    <row r="210" spans="1:16" x14ac:dyDescent="0.35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71</v>
      </c>
      <c r="N210" t="s">
        <v>31</v>
      </c>
      <c r="O210">
        <v>10</v>
      </c>
      <c r="P210">
        <v>3</v>
      </c>
    </row>
    <row r="211" spans="1:16" x14ac:dyDescent="0.35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>
        <v>40</v>
      </c>
      <c r="J211">
        <v>2.1</v>
      </c>
      <c r="K211" t="s">
        <v>75</v>
      </c>
      <c r="L211" s="1">
        <v>0.94</v>
      </c>
      <c r="M211" t="s">
        <v>51</v>
      </c>
      <c r="N211" t="s">
        <v>65</v>
      </c>
      <c r="O211">
        <v>8</v>
      </c>
      <c r="P211">
        <v>10</v>
      </c>
    </row>
    <row r="212" spans="1:16" x14ac:dyDescent="0.35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t="s">
        <v>106</v>
      </c>
      <c r="J212">
        <v>4.5999999999999996</v>
      </c>
      <c r="K212" t="b">
        <v>1</v>
      </c>
      <c r="L212">
        <v>64</v>
      </c>
      <c r="M212" t="s">
        <v>71</v>
      </c>
      <c r="N212" t="s">
        <v>31</v>
      </c>
      <c r="O212">
        <v>4</v>
      </c>
      <c r="P212">
        <v>2</v>
      </c>
    </row>
    <row r="213" spans="1:16" x14ac:dyDescent="0.35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2">
        <v>20</v>
      </c>
      <c r="J213">
        <v>0</v>
      </c>
      <c r="K213" t="s">
        <v>75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2">
        <v>20</v>
      </c>
      <c r="J214">
        <v>2.8</v>
      </c>
      <c r="K214" t="s">
        <v>166</v>
      </c>
      <c r="L214" s="1">
        <v>0.87</v>
      </c>
      <c r="M214" t="s">
        <v>51</v>
      </c>
      <c r="N214" t="s">
        <v>38</v>
      </c>
      <c r="O214">
        <v>12</v>
      </c>
      <c r="P214">
        <v>5</v>
      </c>
    </row>
    <row r="215" spans="1:16" x14ac:dyDescent="0.35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2">
        <v>40</v>
      </c>
      <c r="J215">
        <v>0</v>
      </c>
      <c r="K215" t="s">
        <v>37</v>
      </c>
      <c r="L215" s="1">
        <v>0.64</v>
      </c>
      <c r="M215" t="s">
        <v>71</v>
      </c>
      <c r="N215" t="s">
        <v>23</v>
      </c>
      <c r="O215">
        <v>14</v>
      </c>
      <c r="P215">
        <v>4</v>
      </c>
    </row>
    <row r="216" spans="1:16" x14ac:dyDescent="0.35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51</v>
      </c>
      <c r="N217" t="s">
        <v>23</v>
      </c>
      <c r="O217">
        <v>8</v>
      </c>
      <c r="P217">
        <v>13</v>
      </c>
    </row>
    <row r="218" spans="1:16" x14ac:dyDescent="0.35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t="s">
        <v>30</v>
      </c>
      <c r="J219">
        <v>0</v>
      </c>
      <c r="K219" t="s">
        <v>82</v>
      </c>
      <c r="L219" s="1">
        <v>0.92</v>
      </c>
      <c r="M219" t="s">
        <v>76</v>
      </c>
      <c r="N219" t="s">
        <v>31</v>
      </c>
      <c r="O219">
        <v>7</v>
      </c>
      <c r="P219">
        <v>9</v>
      </c>
    </row>
    <row r="220" spans="1:16" x14ac:dyDescent="0.35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t="s">
        <v>76</v>
      </c>
      <c r="N220" t="s">
        <v>38</v>
      </c>
      <c r="O220">
        <v>14</v>
      </c>
      <c r="P220">
        <v>3</v>
      </c>
    </row>
    <row r="221" spans="1:16" x14ac:dyDescent="0.35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2">
        <v>30</v>
      </c>
      <c r="J221">
        <v>2.2999999999999998</v>
      </c>
      <c r="K221" t="s">
        <v>75</v>
      </c>
      <c r="M221" t="s">
        <v>51</v>
      </c>
      <c r="N221" t="s">
        <v>38</v>
      </c>
      <c r="O221">
        <v>4</v>
      </c>
      <c r="P221">
        <v>4</v>
      </c>
    </row>
    <row r="222" spans="1:16" x14ac:dyDescent="0.35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>
        <v>100</v>
      </c>
      <c r="J222">
        <v>2.4</v>
      </c>
      <c r="K222" t="s">
        <v>82</v>
      </c>
      <c r="M222" t="s">
        <v>71</v>
      </c>
      <c r="N222" t="s">
        <v>38</v>
      </c>
      <c r="O222">
        <v>3</v>
      </c>
      <c r="P222">
        <v>1</v>
      </c>
    </row>
    <row r="223" spans="1:16" x14ac:dyDescent="0.35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>
        <v>75</v>
      </c>
      <c r="J223">
        <v>2.6</v>
      </c>
      <c r="L223" s="1">
        <v>0.85</v>
      </c>
      <c r="M223" t="s">
        <v>51</v>
      </c>
      <c r="N223" t="s">
        <v>31</v>
      </c>
      <c r="O223">
        <v>4</v>
      </c>
      <c r="P223">
        <v>1</v>
      </c>
    </row>
    <row r="224" spans="1:16" x14ac:dyDescent="0.35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t="s">
        <v>61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71</v>
      </c>
      <c r="N225" t="s">
        <v>31</v>
      </c>
      <c r="O225">
        <v>15</v>
      </c>
      <c r="P225">
        <v>6</v>
      </c>
    </row>
    <row r="226" spans="1:16" x14ac:dyDescent="0.35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76</v>
      </c>
      <c r="N226" t="s">
        <v>31</v>
      </c>
      <c r="O226">
        <v>1</v>
      </c>
      <c r="P226">
        <v>5</v>
      </c>
    </row>
    <row r="227" spans="1:16" x14ac:dyDescent="0.35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2">
        <v>40</v>
      </c>
      <c r="J227">
        <v>1.2</v>
      </c>
      <c r="K227" t="b">
        <v>0</v>
      </c>
      <c r="M227" t="s">
        <v>71</v>
      </c>
      <c r="N227" t="s">
        <v>23</v>
      </c>
      <c r="O227">
        <v>1</v>
      </c>
      <c r="P227">
        <v>1</v>
      </c>
    </row>
    <row r="228" spans="1:16" x14ac:dyDescent="0.35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t="s">
        <v>61</v>
      </c>
      <c r="J228">
        <v>1.2</v>
      </c>
      <c r="K228" t="b">
        <v>0</v>
      </c>
      <c r="L228" s="1">
        <v>0.78</v>
      </c>
      <c r="M228" t="s">
        <v>76</v>
      </c>
      <c r="N228" t="s">
        <v>23</v>
      </c>
      <c r="O228">
        <v>7</v>
      </c>
      <c r="P228">
        <v>6</v>
      </c>
    </row>
    <row r="229" spans="1:16" x14ac:dyDescent="0.35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71</v>
      </c>
      <c r="N229" t="s">
        <v>65</v>
      </c>
      <c r="O229">
        <v>18</v>
      </c>
      <c r="P229">
        <v>9</v>
      </c>
    </row>
    <row r="230" spans="1:16" x14ac:dyDescent="0.35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71</v>
      </c>
      <c r="N230" t="s">
        <v>31</v>
      </c>
      <c r="O230">
        <v>14</v>
      </c>
      <c r="P230">
        <v>3</v>
      </c>
    </row>
    <row r="231" spans="1:16" x14ac:dyDescent="0.35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71</v>
      </c>
      <c r="N231" t="s">
        <v>23</v>
      </c>
      <c r="O231">
        <v>12</v>
      </c>
      <c r="P231">
        <v>9</v>
      </c>
    </row>
    <row r="232" spans="1:16" x14ac:dyDescent="0.35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>
        <v>50</v>
      </c>
      <c r="J234">
        <v>3.1</v>
      </c>
      <c r="L234" s="1">
        <v>0.71</v>
      </c>
      <c r="M234" t="s">
        <v>51</v>
      </c>
      <c r="N234" t="s">
        <v>65</v>
      </c>
      <c r="O234">
        <v>4</v>
      </c>
      <c r="P234">
        <v>3</v>
      </c>
    </row>
    <row r="235" spans="1:16" x14ac:dyDescent="0.35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t="s">
        <v>51</v>
      </c>
      <c r="N235" t="s">
        <v>65</v>
      </c>
      <c r="O235">
        <v>5</v>
      </c>
      <c r="P235">
        <v>1</v>
      </c>
    </row>
    <row r="236" spans="1:16" x14ac:dyDescent="0.35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76</v>
      </c>
      <c r="N236" t="s">
        <v>65</v>
      </c>
      <c r="O236">
        <v>2</v>
      </c>
      <c r="P236">
        <v>1</v>
      </c>
    </row>
    <row r="237" spans="1:16" x14ac:dyDescent="0.35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>
        <v>30</v>
      </c>
      <c r="K237" t="s">
        <v>82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76</v>
      </c>
      <c r="N238" t="s">
        <v>23</v>
      </c>
      <c r="O238">
        <v>19</v>
      </c>
      <c r="P238">
        <v>7</v>
      </c>
    </row>
    <row r="239" spans="1:16" x14ac:dyDescent="0.35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51</v>
      </c>
      <c r="N239" t="s">
        <v>38</v>
      </c>
      <c r="O239">
        <v>5</v>
      </c>
      <c r="P239">
        <v>1</v>
      </c>
    </row>
    <row r="240" spans="1:16" x14ac:dyDescent="0.35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61</v>
      </c>
      <c r="K240" t="b">
        <v>0</v>
      </c>
      <c r="L240" s="1">
        <v>0.67</v>
      </c>
      <c r="M240" t="s">
        <v>76</v>
      </c>
      <c r="N240" t="s">
        <v>31</v>
      </c>
      <c r="O240">
        <v>13</v>
      </c>
      <c r="P240">
        <v>9</v>
      </c>
    </row>
    <row r="241" spans="1:16" x14ac:dyDescent="0.35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t="s">
        <v>106</v>
      </c>
      <c r="J241">
        <v>4</v>
      </c>
      <c r="K241">
        <v>0</v>
      </c>
      <c r="M241" t="s">
        <v>51</v>
      </c>
      <c r="N241" t="s">
        <v>65</v>
      </c>
      <c r="O241">
        <v>3</v>
      </c>
      <c r="P241">
        <v>2</v>
      </c>
    </row>
    <row r="242" spans="1:16" x14ac:dyDescent="0.35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71</v>
      </c>
      <c r="N243" t="s">
        <v>38</v>
      </c>
      <c r="O243">
        <v>5</v>
      </c>
      <c r="P243">
        <v>1</v>
      </c>
    </row>
    <row r="244" spans="1:16" x14ac:dyDescent="0.35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76</v>
      </c>
      <c r="N245" t="s">
        <v>23</v>
      </c>
      <c r="O245">
        <v>3</v>
      </c>
      <c r="P245">
        <v>1</v>
      </c>
    </row>
    <row r="246" spans="1:16" x14ac:dyDescent="0.35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76</v>
      </c>
      <c r="N246" t="s">
        <v>65</v>
      </c>
      <c r="O246">
        <v>8</v>
      </c>
      <c r="P246">
        <v>4</v>
      </c>
    </row>
    <row r="247" spans="1:16" x14ac:dyDescent="0.35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5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t="s">
        <v>51</v>
      </c>
      <c r="N249" t="s">
        <v>23</v>
      </c>
      <c r="O249">
        <v>19</v>
      </c>
      <c r="P249">
        <v>5</v>
      </c>
    </row>
    <row r="250" spans="1:16" x14ac:dyDescent="0.35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76</v>
      </c>
      <c r="N250" t="s">
        <v>38</v>
      </c>
      <c r="O250">
        <v>9</v>
      </c>
      <c r="P250">
        <v>6</v>
      </c>
    </row>
    <row r="251" spans="1:16" x14ac:dyDescent="0.35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>
        <v>100</v>
      </c>
      <c r="K251">
        <v>1</v>
      </c>
      <c r="M251" t="s">
        <v>76</v>
      </c>
      <c r="N251" t="s">
        <v>38</v>
      </c>
      <c r="O251">
        <v>4</v>
      </c>
      <c r="P251">
        <v>1</v>
      </c>
    </row>
    <row r="252" spans="1:16" x14ac:dyDescent="0.35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t="s">
        <v>58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71</v>
      </c>
      <c r="N253" t="s">
        <v>23</v>
      </c>
      <c r="O253">
        <v>8</v>
      </c>
      <c r="P253">
        <v>13</v>
      </c>
    </row>
    <row r="254" spans="1:16" x14ac:dyDescent="0.35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76</v>
      </c>
      <c r="N254" t="s">
        <v>65</v>
      </c>
      <c r="O254">
        <v>8</v>
      </c>
      <c r="P254">
        <v>9</v>
      </c>
    </row>
    <row r="255" spans="1:16" x14ac:dyDescent="0.35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71</v>
      </c>
      <c r="N255" t="s">
        <v>31</v>
      </c>
      <c r="O255">
        <v>2</v>
      </c>
      <c r="P255">
        <v>1</v>
      </c>
    </row>
    <row r="256" spans="1:16" x14ac:dyDescent="0.35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65</v>
      </c>
      <c r="O256">
        <v>6</v>
      </c>
      <c r="P256">
        <v>9</v>
      </c>
    </row>
    <row r="257" spans="1:16" x14ac:dyDescent="0.35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>
        <v>30</v>
      </c>
      <c r="J258">
        <v>2.4</v>
      </c>
      <c r="L258" s="1">
        <v>0.8</v>
      </c>
      <c r="M258" t="s">
        <v>51</v>
      </c>
      <c r="N258" t="s">
        <v>38</v>
      </c>
      <c r="O258">
        <v>13</v>
      </c>
      <c r="P258">
        <v>8</v>
      </c>
    </row>
    <row r="259" spans="1:16" x14ac:dyDescent="0.35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76</v>
      </c>
      <c r="N259" t="s">
        <v>65</v>
      </c>
      <c r="O259">
        <v>17</v>
      </c>
      <c r="P259">
        <v>1</v>
      </c>
    </row>
    <row r="260" spans="1:16" x14ac:dyDescent="0.35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t="s">
        <v>319</v>
      </c>
      <c r="J260">
        <v>0</v>
      </c>
      <c r="K260" t="s">
        <v>75</v>
      </c>
      <c r="L260">
        <v>87</v>
      </c>
      <c r="M260" t="s">
        <v>71</v>
      </c>
      <c r="N260" t="s">
        <v>31</v>
      </c>
      <c r="O260">
        <v>16</v>
      </c>
      <c r="P260">
        <v>7</v>
      </c>
    </row>
    <row r="261" spans="1:16" x14ac:dyDescent="0.35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51</v>
      </c>
      <c r="N261" t="s">
        <v>23</v>
      </c>
      <c r="O261">
        <v>15</v>
      </c>
      <c r="P261">
        <v>3</v>
      </c>
    </row>
    <row r="262" spans="1:16" x14ac:dyDescent="0.35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>
        <v>50</v>
      </c>
      <c r="J262">
        <v>1.6</v>
      </c>
      <c r="K262" t="s">
        <v>166</v>
      </c>
      <c r="L262" s="1">
        <v>0.89</v>
      </c>
      <c r="M262" t="s">
        <v>76</v>
      </c>
      <c r="N262" t="s">
        <v>23</v>
      </c>
      <c r="O262">
        <v>3</v>
      </c>
      <c r="P262">
        <v>1</v>
      </c>
    </row>
    <row r="263" spans="1:16" x14ac:dyDescent="0.35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>
        <v>20</v>
      </c>
      <c r="J263">
        <v>3.6</v>
      </c>
      <c r="K263" t="s">
        <v>75</v>
      </c>
      <c r="L263" s="1">
        <v>0.94</v>
      </c>
      <c r="M263" t="s">
        <v>51</v>
      </c>
      <c r="N263" t="s">
        <v>65</v>
      </c>
      <c r="O263">
        <v>3</v>
      </c>
      <c r="P263">
        <v>1</v>
      </c>
    </row>
    <row r="264" spans="1:16" x14ac:dyDescent="0.35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65</v>
      </c>
      <c r="O264">
        <v>14</v>
      </c>
      <c r="P264">
        <v>7</v>
      </c>
    </row>
    <row r="265" spans="1:16" x14ac:dyDescent="0.35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76</v>
      </c>
      <c r="N265" t="s">
        <v>38</v>
      </c>
      <c r="O265">
        <v>9</v>
      </c>
      <c r="P265">
        <v>7</v>
      </c>
    </row>
    <row r="266" spans="1:16" x14ac:dyDescent="0.35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51</v>
      </c>
      <c r="N266" t="s">
        <v>65</v>
      </c>
      <c r="O266">
        <v>6</v>
      </c>
      <c r="P266">
        <v>4</v>
      </c>
    </row>
    <row r="267" spans="1:16" x14ac:dyDescent="0.35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51</v>
      </c>
      <c r="N267" t="s">
        <v>38</v>
      </c>
      <c r="O267">
        <v>5</v>
      </c>
      <c r="P267">
        <v>4</v>
      </c>
    </row>
    <row r="268" spans="1:16" x14ac:dyDescent="0.35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2">
        <v>40</v>
      </c>
      <c r="J268">
        <v>4.9000000000000004</v>
      </c>
      <c r="L268" s="1">
        <v>0.82</v>
      </c>
      <c r="M268" t="s">
        <v>71</v>
      </c>
      <c r="N268" t="s">
        <v>38</v>
      </c>
      <c r="O268">
        <v>15</v>
      </c>
      <c r="P268">
        <v>15</v>
      </c>
    </row>
    <row r="269" spans="1:16" x14ac:dyDescent="0.35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>
        <v>30</v>
      </c>
      <c r="J269">
        <v>2.1</v>
      </c>
      <c r="M269" t="s">
        <v>51</v>
      </c>
      <c r="N269" t="s">
        <v>23</v>
      </c>
      <c r="O269">
        <v>2</v>
      </c>
      <c r="P269">
        <v>2</v>
      </c>
    </row>
    <row r="270" spans="1:16" x14ac:dyDescent="0.35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>
        <v>100</v>
      </c>
      <c r="J270">
        <v>0</v>
      </c>
      <c r="K270" t="s">
        <v>166</v>
      </c>
      <c r="L270" s="1">
        <v>0.91</v>
      </c>
      <c r="M270" t="s">
        <v>76</v>
      </c>
      <c r="N270" t="s">
        <v>23</v>
      </c>
      <c r="O270">
        <v>17</v>
      </c>
      <c r="P270">
        <v>13</v>
      </c>
    </row>
    <row r="271" spans="1:16" x14ac:dyDescent="0.35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2">
        <v>50</v>
      </c>
      <c r="J271">
        <v>2.8</v>
      </c>
      <c r="K271" t="s">
        <v>75</v>
      </c>
      <c r="L271">
        <v>86</v>
      </c>
      <c r="M271" t="s">
        <v>76</v>
      </c>
      <c r="N271" t="s">
        <v>31</v>
      </c>
      <c r="O271">
        <v>3</v>
      </c>
      <c r="P271">
        <v>2</v>
      </c>
    </row>
    <row r="272" spans="1:16" x14ac:dyDescent="0.35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t="s">
        <v>71</v>
      </c>
      <c r="N272" t="s">
        <v>23</v>
      </c>
      <c r="O272">
        <v>12</v>
      </c>
      <c r="P272">
        <v>13</v>
      </c>
    </row>
    <row r="273" spans="1:16" x14ac:dyDescent="0.35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76</v>
      </c>
      <c r="N273" t="s">
        <v>23</v>
      </c>
      <c r="O273">
        <v>7</v>
      </c>
      <c r="P273">
        <v>13</v>
      </c>
    </row>
    <row r="274" spans="1:16" x14ac:dyDescent="0.35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65</v>
      </c>
      <c r="O274">
        <v>5</v>
      </c>
      <c r="P274">
        <v>2</v>
      </c>
    </row>
    <row r="275" spans="1:16" x14ac:dyDescent="0.35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58</v>
      </c>
      <c r="J275">
        <v>1.6</v>
      </c>
      <c r="K275">
        <v>1</v>
      </c>
      <c r="L275" s="1">
        <v>0.97</v>
      </c>
      <c r="M275" t="s">
        <v>76</v>
      </c>
      <c r="N275" t="s">
        <v>23</v>
      </c>
      <c r="O275">
        <v>13</v>
      </c>
      <c r="P275">
        <v>6</v>
      </c>
    </row>
    <row r="276" spans="1:16" x14ac:dyDescent="0.35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76</v>
      </c>
      <c r="N276" t="s">
        <v>31</v>
      </c>
      <c r="O276">
        <v>17</v>
      </c>
      <c r="P276">
        <v>7</v>
      </c>
    </row>
    <row r="277" spans="1:16" x14ac:dyDescent="0.35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t="s">
        <v>30</v>
      </c>
      <c r="J277">
        <v>3.6</v>
      </c>
      <c r="K277" t="s">
        <v>166</v>
      </c>
      <c r="L277" s="1">
        <v>0.81</v>
      </c>
      <c r="M277" t="s">
        <v>51</v>
      </c>
      <c r="N277" t="s">
        <v>65</v>
      </c>
      <c r="O277">
        <v>5</v>
      </c>
      <c r="P277">
        <v>2</v>
      </c>
    </row>
    <row r="278" spans="1:16" x14ac:dyDescent="0.35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51</v>
      </c>
      <c r="N278" t="s">
        <v>31</v>
      </c>
      <c r="O278">
        <v>15</v>
      </c>
      <c r="P278">
        <v>10</v>
      </c>
    </row>
    <row r="279" spans="1:16" x14ac:dyDescent="0.35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2">
        <v>40</v>
      </c>
      <c r="K279">
        <v>1</v>
      </c>
      <c r="L279" s="1">
        <v>1</v>
      </c>
      <c r="M279" t="s">
        <v>76</v>
      </c>
      <c r="N279" t="s">
        <v>23</v>
      </c>
      <c r="O279">
        <v>15</v>
      </c>
      <c r="P279">
        <v>13</v>
      </c>
    </row>
    <row r="280" spans="1:16" x14ac:dyDescent="0.35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71</v>
      </c>
      <c r="N280" t="s">
        <v>31</v>
      </c>
      <c r="O280">
        <v>10</v>
      </c>
      <c r="P280">
        <v>5</v>
      </c>
    </row>
    <row r="281" spans="1:16" x14ac:dyDescent="0.35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t="s">
        <v>319</v>
      </c>
      <c r="K281">
        <v>0</v>
      </c>
      <c r="L281" s="1">
        <v>0.71</v>
      </c>
      <c r="M281" t="s">
        <v>51</v>
      </c>
      <c r="N281" t="s">
        <v>65</v>
      </c>
      <c r="O281">
        <v>3</v>
      </c>
      <c r="P281">
        <v>5</v>
      </c>
    </row>
    <row r="282" spans="1:16" x14ac:dyDescent="0.35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2">
        <v>20</v>
      </c>
      <c r="J282">
        <v>4.7</v>
      </c>
      <c r="K282" t="s">
        <v>37</v>
      </c>
      <c r="L282" s="1">
        <v>0.85</v>
      </c>
      <c r="M282" t="s">
        <v>71</v>
      </c>
      <c r="N282" t="s">
        <v>38</v>
      </c>
      <c r="O282">
        <v>9</v>
      </c>
      <c r="P282">
        <v>3</v>
      </c>
    </row>
    <row r="283" spans="1:16" x14ac:dyDescent="0.35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76</v>
      </c>
      <c r="N283" t="s">
        <v>31</v>
      </c>
      <c r="O283">
        <v>11</v>
      </c>
      <c r="P283">
        <v>7</v>
      </c>
    </row>
    <row r="284" spans="1:16" x14ac:dyDescent="0.35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t="s">
        <v>319</v>
      </c>
      <c r="J284">
        <v>2.4</v>
      </c>
      <c r="K284" t="s">
        <v>82</v>
      </c>
      <c r="L284" s="1">
        <v>0.92</v>
      </c>
      <c r="M284" t="s">
        <v>76</v>
      </c>
      <c r="N284" t="s">
        <v>31</v>
      </c>
      <c r="O284">
        <v>11</v>
      </c>
      <c r="P284">
        <v>6</v>
      </c>
    </row>
    <row r="285" spans="1:16" x14ac:dyDescent="0.35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65</v>
      </c>
      <c r="O285">
        <v>14</v>
      </c>
      <c r="P285">
        <v>10</v>
      </c>
    </row>
    <row r="286" spans="1:16" x14ac:dyDescent="0.35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51</v>
      </c>
      <c r="N286" t="s">
        <v>65</v>
      </c>
      <c r="O286">
        <v>12</v>
      </c>
      <c r="P286">
        <v>11</v>
      </c>
    </row>
    <row r="287" spans="1:16" x14ac:dyDescent="0.35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>
        <v>50</v>
      </c>
      <c r="J287">
        <v>0</v>
      </c>
      <c r="K287">
        <v>0</v>
      </c>
      <c r="M287" t="s">
        <v>76</v>
      </c>
      <c r="N287" t="s">
        <v>31</v>
      </c>
      <c r="O287">
        <v>8</v>
      </c>
      <c r="P287">
        <v>5</v>
      </c>
    </row>
    <row r="288" spans="1:16" x14ac:dyDescent="0.35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51</v>
      </c>
      <c r="N289" t="s">
        <v>31</v>
      </c>
      <c r="O289">
        <v>4</v>
      </c>
      <c r="P289">
        <v>4</v>
      </c>
    </row>
    <row r="290" spans="1:16" x14ac:dyDescent="0.35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76</v>
      </c>
      <c r="N290" t="s">
        <v>65</v>
      </c>
      <c r="O290">
        <v>1</v>
      </c>
      <c r="P290">
        <v>1</v>
      </c>
    </row>
    <row r="291" spans="1:16" x14ac:dyDescent="0.35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82</v>
      </c>
      <c r="L291">
        <v>95</v>
      </c>
      <c r="M291" t="s">
        <v>76</v>
      </c>
      <c r="N291" t="s">
        <v>38</v>
      </c>
      <c r="O291">
        <v>10</v>
      </c>
      <c r="P291">
        <v>3</v>
      </c>
    </row>
    <row r="292" spans="1:16" x14ac:dyDescent="0.35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t="s">
        <v>51</v>
      </c>
      <c r="N292" t="s">
        <v>38</v>
      </c>
      <c r="O292">
        <v>3</v>
      </c>
      <c r="P292">
        <v>2</v>
      </c>
    </row>
    <row r="293" spans="1:16" x14ac:dyDescent="0.35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>
        <v>30</v>
      </c>
      <c r="J293">
        <v>2.4</v>
      </c>
      <c r="K293" t="s">
        <v>75</v>
      </c>
      <c r="L293" s="1">
        <v>0.66</v>
      </c>
      <c r="M293" t="s">
        <v>51</v>
      </c>
      <c r="N293" t="s">
        <v>23</v>
      </c>
      <c r="O293">
        <v>12</v>
      </c>
      <c r="P293">
        <v>8</v>
      </c>
    </row>
    <row r="294" spans="1:16" x14ac:dyDescent="0.35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51</v>
      </c>
      <c r="N294" t="s">
        <v>31</v>
      </c>
      <c r="O294">
        <v>7</v>
      </c>
      <c r="P294">
        <v>4</v>
      </c>
    </row>
    <row r="295" spans="1:16" x14ac:dyDescent="0.35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2">
        <v>50</v>
      </c>
      <c r="J295">
        <v>1.4</v>
      </c>
      <c r="K295" t="s">
        <v>37</v>
      </c>
      <c r="M295" t="s">
        <v>76</v>
      </c>
      <c r="N295" t="s">
        <v>38</v>
      </c>
      <c r="O295">
        <v>20</v>
      </c>
      <c r="P295">
        <v>7</v>
      </c>
    </row>
    <row r="296" spans="1:16" x14ac:dyDescent="0.35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82</v>
      </c>
      <c r="L296" s="1">
        <v>0.82</v>
      </c>
      <c r="M296" t="s">
        <v>76</v>
      </c>
      <c r="N296" t="s">
        <v>31</v>
      </c>
      <c r="O296">
        <v>11</v>
      </c>
      <c r="P296">
        <v>3</v>
      </c>
    </row>
    <row r="297" spans="1:16" x14ac:dyDescent="0.35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t="s">
        <v>22</v>
      </c>
      <c r="N297" t="s">
        <v>65</v>
      </c>
      <c r="O297">
        <v>17</v>
      </c>
      <c r="P297">
        <v>11</v>
      </c>
    </row>
    <row r="298" spans="1:16" x14ac:dyDescent="0.35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71</v>
      </c>
      <c r="N298" t="s">
        <v>38</v>
      </c>
      <c r="O298">
        <v>3</v>
      </c>
      <c r="P298">
        <v>5</v>
      </c>
    </row>
    <row r="299" spans="1:16" x14ac:dyDescent="0.35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51</v>
      </c>
      <c r="N299" t="s">
        <v>23</v>
      </c>
      <c r="O299">
        <v>5</v>
      </c>
      <c r="P299">
        <v>2</v>
      </c>
    </row>
    <row r="300" spans="1:16" x14ac:dyDescent="0.35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>
        <v>50</v>
      </c>
      <c r="J300">
        <v>0</v>
      </c>
      <c r="L300" s="1">
        <v>0.64</v>
      </c>
      <c r="M300" t="s">
        <v>76</v>
      </c>
      <c r="N300" t="s">
        <v>65</v>
      </c>
      <c r="O300">
        <v>10</v>
      </c>
      <c r="P300">
        <v>2</v>
      </c>
    </row>
    <row r="301" spans="1:16" x14ac:dyDescent="0.35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76</v>
      </c>
      <c r="N301" t="s">
        <v>23</v>
      </c>
      <c r="O301">
        <v>15</v>
      </c>
      <c r="P301">
        <v>6</v>
      </c>
    </row>
    <row r="302" spans="1:16" x14ac:dyDescent="0.35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2">
        <v>100</v>
      </c>
      <c r="J302">
        <v>0</v>
      </c>
      <c r="K302" t="s">
        <v>82</v>
      </c>
      <c r="L302" s="1">
        <v>0.97</v>
      </c>
      <c r="M302" t="s">
        <v>51</v>
      </c>
      <c r="N302" t="s">
        <v>65</v>
      </c>
      <c r="O302">
        <v>9</v>
      </c>
      <c r="P302">
        <v>12</v>
      </c>
    </row>
    <row r="303" spans="1:16" x14ac:dyDescent="0.35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71</v>
      </c>
      <c r="N303" t="s">
        <v>38</v>
      </c>
      <c r="O303">
        <v>11</v>
      </c>
      <c r="P303">
        <v>1</v>
      </c>
    </row>
    <row r="304" spans="1:16" x14ac:dyDescent="0.35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51</v>
      </c>
      <c r="N304" t="s">
        <v>23</v>
      </c>
      <c r="O304">
        <v>4</v>
      </c>
      <c r="P304">
        <v>1</v>
      </c>
    </row>
    <row r="305" spans="1:16" x14ac:dyDescent="0.35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t="s">
        <v>106</v>
      </c>
      <c r="J305">
        <v>4.7</v>
      </c>
      <c r="K305">
        <v>0</v>
      </c>
      <c r="L305" s="1">
        <v>0.77</v>
      </c>
      <c r="M305" t="s">
        <v>71</v>
      </c>
      <c r="N305" t="s">
        <v>23</v>
      </c>
      <c r="O305">
        <v>3</v>
      </c>
      <c r="P305">
        <v>2</v>
      </c>
    </row>
    <row r="306" spans="1:16" x14ac:dyDescent="0.35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>
        <v>20</v>
      </c>
      <c r="J306">
        <v>3.9</v>
      </c>
      <c r="K306" t="b">
        <v>0</v>
      </c>
      <c r="M306" t="s">
        <v>76</v>
      </c>
      <c r="N306" t="s">
        <v>65</v>
      </c>
      <c r="O306">
        <v>1</v>
      </c>
      <c r="P306">
        <v>1</v>
      </c>
    </row>
    <row r="307" spans="1:16" x14ac:dyDescent="0.35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71</v>
      </c>
      <c r="N307" t="s">
        <v>23</v>
      </c>
      <c r="O307">
        <v>5</v>
      </c>
      <c r="P307">
        <v>2</v>
      </c>
    </row>
    <row r="308" spans="1:16" x14ac:dyDescent="0.35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2">
        <v>50</v>
      </c>
      <c r="K308">
        <v>0</v>
      </c>
      <c r="L308" s="1">
        <v>0.84</v>
      </c>
      <c r="M308" t="s">
        <v>22</v>
      </c>
      <c r="N308" t="s">
        <v>65</v>
      </c>
      <c r="O308">
        <v>2</v>
      </c>
      <c r="P308">
        <v>3</v>
      </c>
    </row>
    <row r="309" spans="1:16" x14ac:dyDescent="0.35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76</v>
      </c>
      <c r="N309" t="s">
        <v>65</v>
      </c>
      <c r="O309">
        <v>2</v>
      </c>
      <c r="P309">
        <v>2</v>
      </c>
    </row>
    <row r="310" spans="1:16" x14ac:dyDescent="0.35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t="s">
        <v>117</v>
      </c>
      <c r="J310">
        <v>1.2</v>
      </c>
      <c r="K310" t="s">
        <v>75</v>
      </c>
      <c r="L310" s="1">
        <v>0.91</v>
      </c>
      <c r="M310" t="s">
        <v>22</v>
      </c>
      <c r="N310" t="s">
        <v>65</v>
      </c>
      <c r="O310">
        <v>7</v>
      </c>
      <c r="P310">
        <v>6</v>
      </c>
    </row>
    <row r="311" spans="1:16" x14ac:dyDescent="0.35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t="s">
        <v>58</v>
      </c>
      <c r="J311">
        <v>3</v>
      </c>
      <c r="K311">
        <v>0</v>
      </c>
      <c r="L311" s="1">
        <v>0.78</v>
      </c>
      <c r="M311" t="s">
        <v>51</v>
      </c>
      <c r="N311" t="s">
        <v>65</v>
      </c>
      <c r="O311">
        <v>13</v>
      </c>
      <c r="P311">
        <v>6</v>
      </c>
    </row>
    <row r="312" spans="1:16" x14ac:dyDescent="0.35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>
        <v>50</v>
      </c>
      <c r="J312">
        <v>3.9</v>
      </c>
      <c r="K312">
        <v>0</v>
      </c>
      <c r="M312" t="s">
        <v>51</v>
      </c>
      <c r="N312" t="s">
        <v>38</v>
      </c>
      <c r="O312">
        <v>4</v>
      </c>
      <c r="P312">
        <v>1</v>
      </c>
    </row>
    <row r="313" spans="1:16" x14ac:dyDescent="0.35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>
        <v>40</v>
      </c>
      <c r="J313">
        <v>1.7</v>
      </c>
      <c r="L313">
        <v>74</v>
      </c>
      <c r="M313" t="s">
        <v>51</v>
      </c>
      <c r="N313" t="s">
        <v>65</v>
      </c>
      <c r="O313">
        <v>4</v>
      </c>
      <c r="P313">
        <v>4</v>
      </c>
    </row>
    <row r="314" spans="1:16" x14ac:dyDescent="0.35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>
        <v>20</v>
      </c>
      <c r="J314">
        <v>4.5</v>
      </c>
      <c r="L314" s="1">
        <v>0.91</v>
      </c>
      <c r="M314" t="s">
        <v>71</v>
      </c>
      <c r="N314" t="s">
        <v>31</v>
      </c>
      <c r="O314">
        <v>7</v>
      </c>
      <c r="P314">
        <v>6</v>
      </c>
    </row>
    <row r="315" spans="1:16" x14ac:dyDescent="0.35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76</v>
      </c>
      <c r="N315" t="s">
        <v>23</v>
      </c>
      <c r="O315">
        <v>12</v>
      </c>
      <c r="P315">
        <v>9</v>
      </c>
    </row>
    <row r="316" spans="1:16" x14ac:dyDescent="0.35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t="s">
        <v>58</v>
      </c>
      <c r="J316">
        <v>3.6</v>
      </c>
      <c r="K316" t="s">
        <v>82</v>
      </c>
      <c r="L316" s="1">
        <v>0.87</v>
      </c>
      <c r="M316" t="s">
        <v>51</v>
      </c>
      <c r="N316" t="s">
        <v>31</v>
      </c>
      <c r="O316">
        <v>5</v>
      </c>
      <c r="P316">
        <v>1</v>
      </c>
    </row>
    <row r="317" spans="1:16" x14ac:dyDescent="0.35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51</v>
      </c>
      <c r="N317" t="s">
        <v>38</v>
      </c>
      <c r="O317">
        <v>1</v>
      </c>
      <c r="P317">
        <v>1</v>
      </c>
    </row>
    <row r="318" spans="1:16" x14ac:dyDescent="0.35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2">
        <v>100</v>
      </c>
      <c r="J318">
        <v>5</v>
      </c>
      <c r="K318" t="s">
        <v>37</v>
      </c>
      <c r="M318" t="s">
        <v>76</v>
      </c>
      <c r="N318" t="s">
        <v>31</v>
      </c>
      <c r="O318">
        <v>1</v>
      </c>
      <c r="P318">
        <v>4</v>
      </c>
    </row>
    <row r="319" spans="1:16" x14ac:dyDescent="0.35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51</v>
      </c>
      <c r="N319" t="s">
        <v>23</v>
      </c>
      <c r="O319">
        <v>2</v>
      </c>
      <c r="P319">
        <v>1</v>
      </c>
    </row>
    <row r="320" spans="1:16" x14ac:dyDescent="0.35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t="s">
        <v>61</v>
      </c>
      <c r="J321">
        <v>4.5999999999999996</v>
      </c>
      <c r="K321">
        <v>1</v>
      </c>
      <c r="L321" s="1">
        <v>0.84</v>
      </c>
      <c r="M321" t="s">
        <v>76</v>
      </c>
      <c r="N321" t="s">
        <v>38</v>
      </c>
      <c r="O321">
        <v>9</v>
      </c>
      <c r="P321">
        <v>2</v>
      </c>
    </row>
    <row r="322" spans="1:16" x14ac:dyDescent="0.35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2">
        <v>20</v>
      </c>
      <c r="J322">
        <v>3.3</v>
      </c>
      <c r="K322" t="s">
        <v>166</v>
      </c>
      <c r="M322" t="s">
        <v>76</v>
      </c>
      <c r="N322" t="s">
        <v>65</v>
      </c>
      <c r="O322">
        <v>4</v>
      </c>
      <c r="P322">
        <v>4</v>
      </c>
    </row>
    <row r="323" spans="1:16" x14ac:dyDescent="0.35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2">
        <v>40</v>
      </c>
      <c r="J323">
        <v>3.7</v>
      </c>
      <c r="K323">
        <v>1</v>
      </c>
      <c r="M323" t="s">
        <v>76</v>
      </c>
      <c r="N323" t="s">
        <v>31</v>
      </c>
      <c r="O323">
        <v>3</v>
      </c>
      <c r="P323">
        <v>5</v>
      </c>
    </row>
    <row r="324" spans="1:16" x14ac:dyDescent="0.35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>
        <v>50</v>
      </c>
      <c r="J325">
        <v>0</v>
      </c>
      <c r="K325" t="s">
        <v>82</v>
      </c>
      <c r="L325" s="1">
        <v>0.64</v>
      </c>
      <c r="M325" t="s">
        <v>76</v>
      </c>
      <c r="N325" t="s">
        <v>38</v>
      </c>
      <c r="O325">
        <v>11</v>
      </c>
      <c r="P325">
        <v>16</v>
      </c>
    </row>
    <row r="326" spans="1:16" x14ac:dyDescent="0.35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76</v>
      </c>
      <c r="N327" t="s">
        <v>23</v>
      </c>
      <c r="O327">
        <v>11</v>
      </c>
      <c r="P327">
        <v>12</v>
      </c>
    </row>
    <row r="328" spans="1:16" x14ac:dyDescent="0.35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71</v>
      </c>
      <c r="N328" t="s">
        <v>31</v>
      </c>
      <c r="O328">
        <v>4</v>
      </c>
      <c r="P328">
        <v>1</v>
      </c>
    </row>
    <row r="329" spans="1:16" x14ac:dyDescent="0.35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51</v>
      </c>
      <c r="N329" t="s">
        <v>65</v>
      </c>
      <c r="O329">
        <v>5</v>
      </c>
      <c r="P329">
        <v>1</v>
      </c>
    </row>
    <row r="330" spans="1:16" x14ac:dyDescent="0.35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71</v>
      </c>
      <c r="N330" t="s">
        <v>38</v>
      </c>
      <c r="O330">
        <v>5</v>
      </c>
      <c r="P330">
        <v>1</v>
      </c>
    </row>
    <row r="331" spans="1:16" x14ac:dyDescent="0.35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t="s">
        <v>61</v>
      </c>
      <c r="K331">
        <v>1</v>
      </c>
      <c r="L331" s="1">
        <v>0.87</v>
      </c>
      <c r="M331" t="s">
        <v>51</v>
      </c>
      <c r="N331" t="s">
        <v>31</v>
      </c>
      <c r="O331">
        <v>9</v>
      </c>
      <c r="P331">
        <v>10</v>
      </c>
    </row>
    <row r="332" spans="1:16" x14ac:dyDescent="0.35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2">
        <v>100</v>
      </c>
      <c r="K332" t="s">
        <v>166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75</v>
      </c>
      <c r="L333" s="1">
        <v>0.61</v>
      </c>
      <c r="M333" t="s">
        <v>71</v>
      </c>
      <c r="N333" t="s">
        <v>38</v>
      </c>
      <c r="O333">
        <v>10</v>
      </c>
      <c r="P333">
        <v>19</v>
      </c>
    </row>
    <row r="334" spans="1:16" x14ac:dyDescent="0.35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t="s">
        <v>76</v>
      </c>
      <c r="N334" t="s">
        <v>65</v>
      </c>
      <c r="O334">
        <v>20</v>
      </c>
      <c r="P334">
        <v>9</v>
      </c>
    </row>
    <row r="335" spans="1:16" x14ac:dyDescent="0.35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117</v>
      </c>
      <c r="J335">
        <v>3.6</v>
      </c>
      <c r="K335">
        <v>1</v>
      </c>
      <c r="M335" t="s">
        <v>51</v>
      </c>
      <c r="N335" t="s">
        <v>65</v>
      </c>
      <c r="O335">
        <v>8</v>
      </c>
      <c r="P335">
        <v>3</v>
      </c>
    </row>
    <row r="336" spans="1:16" x14ac:dyDescent="0.35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t="s">
        <v>319</v>
      </c>
      <c r="K336" t="b">
        <v>0</v>
      </c>
      <c r="L336" s="1">
        <v>0.99</v>
      </c>
      <c r="M336" t="s">
        <v>51</v>
      </c>
      <c r="N336" t="s">
        <v>31</v>
      </c>
      <c r="O336">
        <v>4</v>
      </c>
      <c r="P336">
        <v>2</v>
      </c>
    </row>
    <row r="337" spans="1:16" x14ac:dyDescent="0.35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71</v>
      </c>
      <c r="N337" t="s">
        <v>65</v>
      </c>
      <c r="O337">
        <v>20</v>
      </c>
      <c r="P337">
        <v>12</v>
      </c>
    </row>
    <row r="338" spans="1:16" x14ac:dyDescent="0.35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65</v>
      </c>
      <c r="O338">
        <v>7</v>
      </c>
      <c r="P338">
        <v>5</v>
      </c>
    </row>
    <row r="339" spans="1:16" x14ac:dyDescent="0.35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71</v>
      </c>
      <c r="N339" t="s">
        <v>31</v>
      </c>
      <c r="O339">
        <v>5</v>
      </c>
      <c r="P339">
        <v>2</v>
      </c>
    </row>
    <row r="340" spans="1:16" x14ac:dyDescent="0.35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>
        <v>20</v>
      </c>
      <c r="J340">
        <v>1</v>
      </c>
      <c r="K340" t="s">
        <v>82</v>
      </c>
      <c r="L340" s="1">
        <v>0.64</v>
      </c>
      <c r="M340" t="s">
        <v>22</v>
      </c>
      <c r="N340" t="s">
        <v>65</v>
      </c>
      <c r="O340">
        <v>15</v>
      </c>
      <c r="P340">
        <v>6</v>
      </c>
    </row>
    <row r="341" spans="1:16" x14ac:dyDescent="0.35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117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5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t="s">
        <v>319</v>
      </c>
      <c r="J342">
        <v>4.9000000000000004</v>
      </c>
      <c r="K342" t="s">
        <v>37</v>
      </c>
      <c r="M342" t="s">
        <v>51</v>
      </c>
      <c r="N342" t="s">
        <v>38</v>
      </c>
      <c r="O342">
        <v>5</v>
      </c>
      <c r="P342">
        <v>3</v>
      </c>
    </row>
    <row r="343" spans="1:16" x14ac:dyDescent="0.35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166</v>
      </c>
      <c r="L343" s="1">
        <v>0.99</v>
      </c>
      <c r="M343" t="s">
        <v>71</v>
      </c>
      <c r="N343" t="s">
        <v>38</v>
      </c>
      <c r="O343">
        <v>2</v>
      </c>
      <c r="P343">
        <v>1</v>
      </c>
    </row>
    <row r="344" spans="1:16" x14ac:dyDescent="0.35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61</v>
      </c>
      <c r="J344">
        <v>2.1</v>
      </c>
      <c r="K344">
        <v>0</v>
      </c>
      <c r="M344" t="s">
        <v>71</v>
      </c>
      <c r="N344" t="s">
        <v>38</v>
      </c>
      <c r="O344">
        <v>4</v>
      </c>
      <c r="P344">
        <v>1</v>
      </c>
    </row>
    <row r="345" spans="1:16" x14ac:dyDescent="0.35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>
        <v>40</v>
      </c>
      <c r="J345">
        <v>1.5</v>
      </c>
      <c r="K345" t="s">
        <v>82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t="s">
        <v>71</v>
      </c>
      <c r="N346" t="s">
        <v>31</v>
      </c>
      <c r="O346">
        <v>5</v>
      </c>
      <c r="P346">
        <v>1</v>
      </c>
    </row>
    <row r="347" spans="1:16" x14ac:dyDescent="0.35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t="s">
        <v>106</v>
      </c>
      <c r="J347">
        <v>0</v>
      </c>
      <c r="K347">
        <v>0</v>
      </c>
      <c r="L347" s="1">
        <v>0.66</v>
      </c>
      <c r="M347" t="s">
        <v>76</v>
      </c>
      <c r="N347" t="s">
        <v>38</v>
      </c>
      <c r="O347">
        <v>10</v>
      </c>
      <c r="P347">
        <v>6</v>
      </c>
    </row>
    <row r="348" spans="1:16" x14ac:dyDescent="0.35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>
        <v>40</v>
      </c>
      <c r="K348" t="s">
        <v>37</v>
      </c>
      <c r="L348" s="1">
        <v>0.78</v>
      </c>
      <c r="M348" t="s">
        <v>76</v>
      </c>
      <c r="N348" t="s">
        <v>38</v>
      </c>
      <c r="O348">
        <v>15</v>
      </c>
      <c r="P348">
        <v>10</v>
      </c>
    </row>
    <row r="349" spans="1:16" x14ac:dyDescent="0.35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t="s">
        <v>319</v>
      </c>
      <c r="J349">
        <v>4</v>
      </c>
      <c r="K349" t="s">
        <v>82</v>
      </c>
      <c r="L349">
        <v>100</v>
      </c>
      <c r="M349" t="s">
        <v>71</v>
      </c>
      <c r="N349" t="s">
        <v>38</v>
      </c>
      <c r="O349">
        <v>1</v>
      </c>
      <c r="P349">
        <v>3</v>
      </c>
    </row>
    <row r="350" spans="1:16" x14ac:dyDescent="0.35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>
        <v>40</v>
      </c>
      <c r="J350">
        <v>4.5</v>
      </c>
      <c r="M350" t="s">
        <v>71</v>
      </c>
      <c r="N350" t="s">
        <v>38</v>
      </c>
      <c r="O350">
        <v>9</v>
      </c>
      <c r="P350">
        <v>10</v>
      </c>
    </row>
    <row r="351" spans="1:16" x14ac:dyDescent="0.35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76</v>
      </c>
      <c r="N352" t="s">
        <v>38</v>
      </c>
      <c r="O352">
        <v>20</v>
      </c>
      <c r="P352">
        <v>7</v>
      </c>
    </row>
    <row r="353" spans="1:16" x14ac:dyDescent="0.35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2">
        <v>40</v>
      </c>
      <c r="J353">
        <v>4.9000000000000004</v>
      </c>
      <c r="K353" t="s">
        <v>75</v>
      </c>
      <c r="L353" s="1">
        <v>0.78</v>
      </c>
      <c r="M353" t="s">
        <v>76</v>
      </c>
      <c r="N353" t="s">
        <v>23</v>
      </c>
      <c r="O353">
        <v>3</v>
      </c>
      <c r="P353">
        <v>3</v>
      </c>
    </row>
    <row r="354" spans="1:16" x14ac:dyDescent="0.35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51</v>
      </c>
      <c r="N354" t="s">
        <v>31</v>
      </c>
      <c r="O354">
        <v>15</v>
      </c>
      <c r="P354">
        <v>10</v>
      </c>
    </row>
    <row r="355" spans="1:16" x14ac:dyDescent="0.35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65</v>
      </c>
      <c r="O355">
        <v>14</v>
      </c>
      <c r="P355">
        <v>10</v>
      </c>
    </row>
    <row r="356" spans="1:16" x14ac:dyDescent="0.35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t="s">
        <v>61</v>
      </c>
      <c r="J356">
        <v>0</v>
      </c>
      <c r="K356">
        <v>1</v>
      </c>
      <c r="L356" s="1">
        <v>0.86</v>
      </c>
      <c r="M356" t="s">
        <v>51</v>
      </c>
      <c r="N356" t="s">
        <v>38</v>
      </c>
      <c r="O356">
        <v>15</v>
      </c>
      <c r="P356">
        <v>5</v>
      </c>
    </row>
    <row r="357" spans="1:16" x14ac:dyDescent="0.35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>
        <v>100</v>
      </c>
      <c r="J357">
        <v>4.5</v>
      </c>
      <c r="K357" t="s">
        <v>166</v>
      </c>
      <c r="L357">
        <v>77</v>
      </c>
      <c r="M357" t="s">
        <v>76</v>
      </c>
      <c r="N357" t="s">
        <v>65</v>
      </c>
      <c r="O357">
        <v>3</v>
      </c>
      <c r="P357">
        <v>1</v>
      </c>
    </row>
    <row r="358" spans="1:16" x14ac:dyDescent="0.35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22</v>
      </c>
      <c r="N358" t="s">
        <v>65</v>
      </c>
      <c r="O358">
        <v>11</v>
      </c>
      <c r="P358">
        <v>5</v>
      </c>
    </row>
    <row r="359" spans="1:16" x14ac:dyDescent="0.35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t="s">
        <v>71</v>
      </c>
      <c r="N359" t="s">
        <v>31</v>
      </c>
      <c r="O359">
        <v>1</v>
      </c>
      <c r="P359">
        <v>1</v>
      </c>
    </row>
    <row r="360" spans="1:16" x14ac:dyDescent="0.35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65</v>
      </c>
      <c r="O360">
        <v>4</v>
      </c>
      <c r="P360">
        <v>5</v>
      </c>
    </row>
    <row r="361" spans="1:16" x14ac:dyDescent="0.35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>
        <v>30</v>
      </c>
      <c r="K361">
        <v>1</v>
      </c>
      <c r="L361" s="1">
        <v>0.99</v>
      </c>
      <c r="M361" t="s">
        <v>71</v>
      </c>
      <c r="N361" t="s">
        <v>23</v>
      </c>
      <c r="O361">
        <v>3</v>
      </c>
      <c r="P361">
        <v>2</v>
      </c>
    </row>
    <row r="362" spans="1:16" x14ac:dyDescent="0.35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t="s">
        <v>61</v>
      </c>
      <c r="J362">
        <v>2.6</v>
      </c>
      <c r="K362">
        <v>0</v>
      </c>
      <c r="L362" s="1">
        <v>0.61</v>
      </c>
      <c r="M362" t="s">
        <v>71</v>
      </c>
      <c r="N362" t="s">
        <v>65</v>
      </c>
      <c r="O362">
        <v>10</v>
      </c>
      <c r="P362">
        <v>5</v>
      </c>
    </row>
    <row r="363" spans="1:16" x14ac:dyDescent="0.35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t="s">
        <v>106</v>
      </c>
      <c r="J363">
        <v>1.6</v>
      </c>
      <c r="K363">
        <v>1</v>
      </c>
      <c r="L363" s="1">
        <v>0.61</v>
      </c>
      <c r="M363" t="s">
        <v>22</v>
      </c>
      <c r="N363" t="s">
        <v>65</v>
      </c>
      <c r="O363">
        <v>10</v>
      </c>
      <c r="P363">
        <v>10</v>
      </c>
    </row>
    <row r="364" spans="1:16" x14ac:dyDescent="0.35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71</v>
      </c>
      <c r="N364" t="s">
        <v>65</v>
      </c>
      <c r="O364">
        <v>2</v>
      </c>
      <c r="P364">
        <v>1</v>
      </c>
    </row>
    <row r="365" spans="1:16" x14ac:dyDescent="0.35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>
        <v>75</v>
      </c>
      <c r="J365">
        <v>4.5999999999999996</v>
      </c>
      <c r="K365" t="s">
        <v>82</v>
      </c>
      <c r="L365">
        <v>72</v>
      </c>
      <c r="M365" t="s">
        <v>51</v>
      </c>
      <c r="N365" t="s">
        <v>38</v>
      </c>
      <c r="O365">
        <v>13</v>
      </c>
      <c r="P365">
        <v>1</v>
      </c>
    </row>
    <row r="366" spans="1:16" x14ac:dyDescent="0.35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>
        <v>100</v>
      </c>
      <c r="J366">
        <v>2.1</v>
      </c>
      <c r="M366" t="s">
        <v>76</v>
      </c>
      <c r="N366" t="s">
        <v>38</v>
      </c>
      <c r="O366">
        <v>15</v>
      </c>
      <c r="P366">
        <v>2</v>
      </c>
    </row>
    <row r="367" spans="1:16" x14ac:dyDescent="0.35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71</v>
      </c>
      <c r="N367" t="s">
        <v>23</v>
      </c>
      <c r="O367">
        <v>4</v>
      </c>
      <c r="P367">
        <v>3</v>
      </c>
    </row>
    <row r="368" spans="1:16" x14ac:dyDescent="0.35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t="s">
        <v>61</v>
      </c>
      <c r="J368">
        <v>1.7</v>
      </c>
      <c r="K368">
        <v>1</v>
      </c>
      <c r="L368">
        <v>72</v>
      </c>
      <c r="M368" t="s">
        <v>51</v>
      </c>
      <c r="N368" t="s">
        <v>23</v>
      </c>
      <c r="O368">
        <v>9</v>
      </c>
      <c r="P368">
        <v>12</v>
      </c>
    </row>
    <row r="369" spans="1:16" x14ac:dyDescent="0.35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t="s">
        <v>71</v>
      </c>
      <c r="N369" t="s">
        <v>38</v>
      </c>
      <c r="O369">
        <v>15</v>
      </c>
      <c r="P369">
        <v>10</v>
      </c>
    </row>
    <row r="370" spans="1:16" x14ac:dyDescent="0.35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2">
        <v>40</v>
      </c>
      <c r="J370">
        <v>4.3</v>
      </c>
      <c r="K370">
        <v>1</v>
      </c>
      <c r="L370" s="1">
        <v>0.63</v>
      </c>
      <c r="M370" t="s">
        <v>76</v>
      </c>
      <c r="N370" t="s">
        <v>23</v>
      </c>
      <c r="O370">
        <v>2</v>
      </c>
      <c r="P370">
        <v>4</v>
      </c>
    </row>
    <row r="371" spans="1:16" x14ac:dyDescent="0.35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2">
        <v>20</v>
      </c>
      <c r="K371" t="s">
        <v>37</v>
      </c>
      <c r="M371" t="s">
        <v>51</v>
      </c>
      <c r="N371" t="s">
        <v>38</v>
      </c>
      <c r="O371">
        <v>1</v>
      </c>
      <c r="P371">
        <v>2</v>
      </c>
    </row>
    <row r="372" spans="1:16" x14ac:dyDescent="0.35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t="s">
        <v>58</v>
      </c>
      <c r="J372">
        <v>2.6</v>
      </c>
      <c r="K372" t="s">
        <v>37</v>
      </c>
      <c r="L372" s="1">
        <v>0.83</v>
      </c>
      <c r="M372" t="s">
        <v>76</v>
      </c>
      <c r="N372" t="s">
        <v>31</v>
      </c>
      <c r="O372">
        <v>13</v>
      </c>
      <c r="P372">
        <v>9</v>
      </c>
    </row>
    <row r="373" spans="1:16" x14ac:dyDescent="0.35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t="s">
        <v>319</v>
      </c>
      <c r="J373">
        <v>4.0999999999999996</v>
      </c>
      <c r="L373" s="1">
        <v>0.94</v>
      </c>
      <c r="M373" t="s">
        <v>76</v>
      </c>
      <c r="N373" t="s">
        <v>65</v>
      </c>
      <c r="O373">
        <v>8</v>
      </c>
      <c r="P373">
        <v>5</v>
      </c>
    </row>
    <row r="374" spans="1:16" x14ac:dyDescent="0.35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51</v>
      </c>
      <c r="N374" t="s">
        <v>65</v>
      </c>
      <c r="O374">
        <v>10</v>
      </c>
      <c r="P374">
        <v>14</v>
      </c>
    </row>
    <row r="375" spans="1:16" x14ac:dyDescent="0.35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>
        <v>30</v>
      </c>
      <c r="J375">
        <v>1.1000000000000001</v>
      </c>
      <c r="K375">
        <v>1</v>
      </c>
      <c r="M375" t="s">
        <v>51</v>
      </c>
      <c r="N375" t="s">
        <v>23</v>
      </c>
      <c r="O375">
        <v>8</v>
      </c>
      <c r="P375">
        <v>4</v>
      </c>
    </row>
    <row r="376" spans="1:16" x14ac:dyDescent="0.35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2">
        <v>50</v>
      </c>
      <c r="J376">
        <v>2.1</v>
      </c>
      <c r="K376">
        <v>1</v>
      </c>
      <c r="L376" s="1">
        <v>0.82</v>
      </c>
      <c r="M376" t="s">
        <v>51</v>
      </c>
      <c r="N376" t="s">
        <v>38</v>
      </c>
      <c r="O376">
        <v>1</v>
      </c>
      <c r="P376">
        <v>1</v>
      </c>
    </row>
    <row r="377" spans="1:16" x14ac:dyDescent="0.35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51</v>
      </c>
      <c r="N378" t="s">
        <v>23</v>
      </c>
      <c r="O378">
        <v>11</v>
      </c>
      <c r="P378">
        <v>9</v>
      </c>
    </row>
    <row r="379" spans="1:16" x14ac:dyDescent="0.35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t="s">
        <v>319</v>
      </c>
      <c r="J379">
        <v>4.7</v>
      </c>
      <c r="K379" t="b">
        <v>1</v>
      </c>
      <c r="L379" s="1">
        <v>0.84</v>
      </c>
      <c r="M379" t="s">
        <v>51</v>
      </c>
      <c r="N379" t="s">
        <v>38</v>
      </c>
      <c r="O379">
        <v>4</v>
      </c>
      <c r="P379">
        <v>4</v>
      </c>
    </row>
    <row r="380" spans="1:16" x14ac:dyDescent="0.35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51</v>
      </c>
      <c r="N380" t="s">
        <v>31</v>
      </c>
      <c r="O380">
        <v>6</v>
      </c>
      <c r="P380">
        <v>8</v>
      </c>
    </row>
    <row r="381" spans="1:16" x14ac:dyDescent="0.35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51</v>
      </c>
      <c r="N381" t="s">
        <v>65</v>
      </c>
      <c r="O381">
        <v>7</v>
      </c>
      <c r="P381">
        <v>5</v>
      </c>
    </row>
    <row r="382" spans="1:16" x14ac:dyDescent="0.35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t="s">
        <v>71</v>
      </c>
      <c r="N382" t="s">
        <v>23</v>
      </c>
      <c r="O382">
        <v>2</v>
      </c>
      <c r="P382">
        <v>1</v>
      </c>
    </row>
    <row r="383" spans="1:16" x14ac:dyDescent="0.35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76</v>
      </c>
      <c r="N384" t="s">
        <v>38</v>
      </c>
      <c r="O384">
        <v>13</v>
      </c>
      <c r="P384">
        <v>2</v>
      </c>
    </row>
    <row r="385" spans="1:16" x14ac:dyDescent="0.35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t="s">
        <v>319</v>
      </c>
      <c r="J385">
        <v>4.8</v>
      </c>
      <c r="K385">
        <v>0</v>
      </c>
      <c r="L385" s="1">
        <v>0.74</v>
      </c>
      <c r="M385" t="s">
        <v>51</v>
      </c>
      <c r="N385" t="s">
        <v>23</v>
      </c>
      <c r="O385">
        <v>2</v>
      </c>
      <c r="P385">
        <v>1</v>
      </c>
    </row>
    <row r="386" spans="1:16" x14ac:dyDescent="0.35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71</v>
      </c>
      <c r="N386" t="s">
        <v>31</v>
      </c>
      <c r="O386">
        <v>15</v>
      </c>
      <c r="P386">
        <v>6</v>
      </c>
    </row>
    <row r="387" spans="1:16" x14ac:dyDescent="0.35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71</v>
      </c>
      <c r="N387" t="s">
        <v>38</v>
      </c>
      <c r="O387">
        <v>15</v>
      </c>
      <c r="P387">
        <v>9</v>
      </c>
    </row>
    <row r="388" spans="1:16" x14ac:dyDescent="0.35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2">
        <v>40</v>
      </c>
      <c r="J388">
        <v>4.0999999999999996</v>
      </c>
      <c r="K388" t="s">
        <v>82</v>
      </c>
      <c r="L388" s="1">
        <v>0.97</v>
      </c>
      <c r="M388" t="s">
        <v>71</v>
      </c>
      <c r="N388" t="s">
        <v>38</v>
      </c>
      <c r="O388">
        <v>4</v>
      </c>
      <c r="P388">
        <v>1</v>
      </c>
    </row>
    <row r="389" spans="1:16" x14ac:dyDescent="0.35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>
        <v>100</v>
      </c>
      <c r="J389">
        <v>3.2</v>
      </c>
      <c r="K389">
        <v>1</v>
      </c>
      <c r="M389" t="s">
        <v>76</v>
      </c>
      <c r="N389" t="s">
        <v>38</v>
      </c>
      <c r="O389">
        <v>5</v>
      </c>
      <c r="P389">
        <v>5</v>
      </c>
    </row>
    <row r="390" spans="1:16" x14ac:dyDescent="0.35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51</v>
      </c>
      <c r="N390" t="s">
        <v>38</v>
      </c>
      <c r="O390">
        <v>4</v>
      </c>
      <c r="P390">
        <v>3</v>
      </c>
    </row>
    <row r="391" spans="1:16" x14ac:dyDescent="0.35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5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71</v>
      </c>
      <c r="N393" t="s">
        <v>23</v>
      </c>
      <c r="O393">
        <v>4</v>
      </c>
      <c r="P393">
        <v>4</v>
      </c>
    </row>
    <row r="394" spans="1:16" x14ac:dyDescent="0.35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>
        <v>50</v>
      </c>
      <c r="J394">
        <v>4.5999999999999996</v>
      </c>
      <c r="K394">
        <v>0</v>
      </c>
      <c r="L394" s="1">
        <v>0.83</v>
      </c>
      <c r="M394" t="s">
        <v>76</v>
      </c>
      <c r="N394" t="s">
        <v>31</v>
      </c>
      <c r="O394">
        <v>1</v>
      </c>
      <c r="P394">
        <v>1</v>
      </c>
    </row>
    <row r="395" spans="1:16" x14ac:dyDescent="0.35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>
        <v>50</v>
      </c>
      <c r="J395">
        <v>0</v>
      </c>
      <c r="K395" t="s">
        <v>166</v>
      </c>
      <c r="M395" t="s">
        <v>76</v>
      </c>
      <c r="N395" t="s">
        <v>65</v>
      </c>
      <c r="O395">
        <v>10</v>
      </c>
      <c r="P395">
        <v>4</v>
      </c>
    </row>
    <row r="396" spans="1:16" x14ac:dyDescent="0.35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t="s">
        <v>76</v>
      </c>
      <c r="N396" t="s">
        <v>65</v>
      </c>
      <c r="O396">
        <v>10</v>
      </c>
      <c r="P396">
        <v>9</v>
      </c>
    </row>
    <row r="397" spans="1:16" x14ac:dyDescent="0.35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2">
        <v>20</v>
      </c>
      <c r="J397">
        <v>4.2</v>
      </c>
      <c r="K397" t="s">
        <v>82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71</v>
      </c>
      <c r="N398" t="s">
        <v>23</v>
      </c>
      <c r="O398">
        <v>5</v>
      </c>
      <c r="P398">
        <v>2</v>
      </c>
    </row>
    <row r="399" spans="1:16" x14ac:dyDescent="0.35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51</v>
      </c>
      <c r="N399" t="s">
        <v>31</v>
      </c>
      <c r="O399">
        <v>15</v>
      </c>
      <c r="P399">
        <v>11</v>
      </c>
    </row>
    <row r="400" spans="1:16" x14ac:dyDescent="0.35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65</v>
      </c>
      <c r="O400">
        <v>2</v>
      </c>
      <c r="P400">
        <v>4</v>
      </c>
    </row>
    <row r="401" spans="1:16" x14ac:dyDescent="0.35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t="s">
        <v>117</v>
      </c>
      <c r="J401">
        <v>2.4</v>
      </c>
      <c r="K401">
        <v>0</v>
      </c>
      <c r="L401" s="1">
        <v>0.81</v>
      </c>
      <c r="M401" t="s">
        <v>71</v>
      </c>
      <c r="N401" t="s">
        <v>65</v>
      </c>
      <c r="O401">
        <v>2</v>
      </c>
      <c r="P401">
        <v>3</v>
      </c>
    </row>
    <row r="402" spans="1:16" x14ac:dyDescent="0.35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71</v>
      </c>
      <c r="N402" t="s">
        <v>65</v>
      </c>
      <c r="O402">
        <v>1</v>
      </c>
      <c r="P402">
        <v>2</v>
      </c>
    </row>
    <row r="403" spans="1:16" x14ac:dyDescent="0.35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51</v>
      </c>
      <c r="N403" t="s">
        <v>65</v>
      </c>
      <c r="O403">
        <v>5</v>
      </c>
      <c r="P403">
        <v>1</v>
      </c>
    </row>
    <row r="404" spans="1:16" x14ac:dyDescent="0.35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2">
        <v>30</v>
      </c>
      <c r="K404">
        <v>0</v>
      </c>
      <c r="L404" s="1">
        <v>0.64</v>
      </c>
      <c r="M404" t="s">
        <v>51</v>
      </c>
      <c r="N404" t="s">
        <v>65</v>
      </c>
      <c r="O404">
        <v>12</v>
      </c>
      <c r="P404">
        <v>15</v>
      </c>
    </row>
    <row r="405" spans="1:16" x14ac:dyDescent="0.35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82</v>
      </c>
      <c r="L405" s="1">
        <v>0.78</v>
      </c>
      <c r="M405" t="s">
        <v>51</v>
      </c>
      <c r="N405" t="s">
        <v>38</v>
      </c>
      <c r="O405">
        <v>7</v>
      </c>
      <c r="P405">
        <v>10</v>
      </c>
    </row>
    <row r="406" spans="1:16" x14ac:dyDescent="0.35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>
        <v>20</v>
      </c>
      <c r="J406">
        <v>1.8</v>
      </c>
      <c r="K406" t="s">
        <v>75</v>
      </c>
      <c r="L406">
        <v>85</v>
      </c>
      <c r="M406" t="s">
        <v>76</v>
      </c>
      <c r="N406" t="s">
        <v>23</v>
      </c>
      <c r="O406">
        <v>6</v>
      </c>
      <c r="P406">
        <v>4</v>
      </c>
    </row>
    <row r="407" spans="1:16" x14ac:dyDescent="0.35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2">
        <v>50</v>
      </c>
      <c r="J407">
        <v>0</v>
      </c>
      <c r="K407" t="s">
        <v>166</v>
      </c>
      <c r="L407" s="1">
        <v>0.78</v>
      </c>
      <c r="M407" t="s">
        <v>51</v>
      </c>
      <c r="N407" t="s">
        <v>38</v>
      </c>
      <c r="O407">
        <v>14</v>
      </c>
      <c r="P407">
        <v>11</v>
      </c>
    </row>
    <row r="408" spans="1:16" x14ac:dyDescent="0.35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71</v>
      </c>
      <c r="N408" t="s">
        <v>65</v>
      </c>
      <c r="O408">
        <v>2</v>
      </c>
      <c r="P408">
        <v>1</v>
      </c>
    </row>
    <row r="409" spans="1:16" x14ac:dyDescent="0.35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t="s">
        <v>61</v>
      </c>
      <c r="J409">
        <v>0</v>
      </c>
      <c r="K409" t="s">
        <v>82</v>
      </c>
      <c r="L409" s="1">
        <v>0.63</v>
      </c>
      <c r="M409" t="s">
        <v>51</v>
      </c>
      <c r="N409" t="s">
        <v>31</v>
      </c>
      <c r="O409">
        <v>16</v>
      </c>
      <c r="P409">
        <v>14</v>
      </c>
    </row>
    <row r="410" spans="1:16" x14ac:dyDescent="0.35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t="s">
        <v>61</v>
      </c>
      <c r="J410">
        <v>3.6</v>
      </c>
      <c r="K410" t="s">
        <v>37</v>
      </c>
      <c r="L410" s="1">
        <v>0.73</v>
      </c>
      <c r="M410" t="s">
        <v>71</v>
      </c>
      <c r="N410" t="s">
        <v>31</v>
      </c>
      <c r="O410">
        <v>14</v>
      </c>
      <c r="P410">
        <v>7</v>
      </c>
    </row>
    <row r="411" spans="1:16" x14ac:dyDescent="0.35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65</v>
      </c>
      <c r="O411">
        <v>2</v>
      </c>
      <c r="P411">
        <v>4</v>
      </c>
    </row>
    <row r="412" spans="1:16" x14ac:dyDescent="0.35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>
        <v>50</v>
      </c>
      <c r="J412">
        <v>4.0999999999999996</v>
      </c>
      <c r="L412" s="1">
        <v>0.81</v>
      </c>
      <c r="M412" t="s">
        <v>76</v>
      </c>
      <c r="N412" t="s">
        <v>65</v>
      </c>
      <c r="O412">
        <v>11</v>
      </c>
      <c r="P412">
        <v>3</v>
      </c>
    </row>
    <row r="413" spans="1:16" x14ac:dyDescent="0.35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5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2">
        <v>100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>
        <v>20</v>
      </c>
      <c r="J415">
        <v>1.3</v>
      </c>
      <c r="K415" t="s">
        <v>166</v>
      </c>
      <c r="L415" s="1">
        <v>0.83</v>
      </c>
      <c r="M415" t="s">
        <v>71</v>
      </c>
      <c r="N415" t="s">
        <v>38</v>
      </c>
      <c r="O415">
        <v>1</v>
      </c>
      <c r="P415">
        <v>5</v>
      </c>
    </row>
    <row r="416" spans="1:16" x14ac:dyDescent="0.35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>
        <v>30</v>
      </c>
      <c r="J416">
        <v>4.0999999999999996</v>
      </c>
      <c r="K416" t="s">
        <v>82</v>
      </c>
      <c r="M416" t="s">
        <v>22</v>
      </c>
      <c r="N416" t="s">
        <v>65</v>
      </c>
      <c r="O416">
        <v>15</v>
      </c>
      <c r="P416">
        <v>5</v>
      </c>
    </row>
    <row r="417" spans="1:16" x14ac:dyDescent="0.35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2">
        <v>50</v>
      </c>
      <c r="J417">
        <v>2.4</v>
      </c>
      <c r="K417" t="s">
        <v>166</v>
      </c>
      <c r="L417" s="1">
        <v>0.68</v>
      </c>
      <c r="M417" t="s">
        <v>71</v>
      </c>
      <c r="N417" t="s">
        <v>38</v>
      </c>
      <c r="O417">
        <v>7</v>
      </c>
      <c r="P417">
        <v>11</v>
      </c>
    </row>
    <row r="418" spans="1:16" x14ac:dyDescent="0.35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51</v>
      </c>
      <c r="N418" t="s">
        <v>31</v>
      </c>
      <c r="O418">
        <v>9</v>
      </c>
      <c r="P418">
        <v>9</v>
      </c>
    </row>
    <row r="419" spans="1:16" x14ac:dyDescent="0.35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51</v>
      </c>
      <c r="N419" t="s">
        <v>38</v>
      </c>
      <c r="O419">
        <v>14</v>
      </c>
      <c r="P419">
        <v>15</v>
      </c>
    </row>
    <row r="420" spans="1:16" x14ac:dyDescent="0.35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71</v>
      </c>
      <c r="N420" t="s">
        <v>65</v>
      </c>
      <c r="O420">
        <v>10</v>
      </c>
      <c r="P420">
        <v>5</v>
      </c>
    </row>
    <row r="421" spans="1:16" x14ac:dyDescent="0.35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51</v>
      </c>
      <c r="N421" t="s">
        <v>31</v>
      </c>
      <c r="O421">
        <v>15</v>
      </c>
      <c r="P421">
        <v>12</v>
      </c>
    </row>
    <row r="422" spans="1:16" x14ac:dyDescent="0.35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>
        <v>50</v>
      </c>
      <c r="J422">
        <v>1.1000000000000001</v>
      </c>
      <c r="K422" t="s">
        <v>82</v>
      </c>
      <c r="L422" s="1">
        <v>0.73</v>
      </c>
      <c r="M422" t="s">
        <v>76</v>
      </c>
      <c r="N422" t="s">
        <v>38</v>
      </c>
      <c r="O422">
        <v>2</v>
      </c>
      <c r="P422">
        <v>1</v>
      </c>
    </row>
    <row r="423" spans="1:16" x14ac:dyDescent="0.35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76</v>
      </c>
      <c r="N424" t="s">
        <v>31</v>
      </c>
      <c r="O424">
        <v>19</v>
      </c>
      <c r="P424">
        <v>14</v>
      </c>
    </row>
    <row r="425" spans="1:16" x14ac:dyDescent="0.35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5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51</v>
      </c>
      <c r="N426" t="s">
        <v>23</v>
      </c>
      <c r="O426">
        <v>2</v>
      </c>
      <c r="P426">
        <v>1</v>
      </c>
    </row>
    <row r="427" spans="1:16" x14ac:dyDescent="0.35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>
        <v>75</v>
      </c>
      <c r="J427">
        <v>0</v>
      </c>
      <c r="L427" s="1">
        <v>0.74</v>
      </c>
      <c r="M427" t="s">
        <v>76</v>
      </c>
      <c r="N427" t="s">
        <v>23</v>
      </c>
      <c r="O427">
        <v>8</v>
      </c>
      <c r="P427">
        <v>9</v>
      </c>
    </row>
    <row r="428" spans="1:16" x14ac:dyDescent="0.35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>
        <v>100</v>
      </c>
      <c r="J428">
        <v>3.5</v>
      </c>
      <c r="K428" t="s">
        <v>82</v>
      </c>
      <c r="L428" s="1">
        <v>0.71</v>
      </c>
      <c r="M428" t="s">
        <v>51</v>
      </c>
      <c r="N428" t="s">
        <v>31</v>
      </c>
      <c r="O428">
        <v>2</v>
      </c>
      <c r="P428">
        <v>1</v>
      </c>
    </row>
    <row r="429" spans="1:16" x14ac:dyDescent="0.35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2">
        <v>75</v>
      </c>
      <c r="L430" s="1">
        <v>0.63</v>
      </c>
      <c r="M430" t="s">
        <v>71</v>
      </c>
      <c r="N430" t="s">
        <v>65</v>
      </c>
      <c r="O430">
        <v>4</v>
      </c>
      <c r="P430">
        <v>2</v>
      </c>
    </row>
    <row r="431" spans="1:16" x14ac:dyDescent="0.35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t="s">
        <v>71</v>
      </c>
      <c r="N431" t="s">
        <v>65</v>
      </c>
      <c r="O431">
        <v>4</v>
      </c>
      <c r="P431">
        <v>1</v>
      </c>
    </row>
    <row r="432" spans="1:16" x14ac:dyDescent="0.35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t="s">
        <v>76</v>
      </c>
      <c r="N432" t="s">
        <v>65</v>
      </c>
      <c r="O432">
        <v>3</v>
      </c>
      <c r="P432">
        <v>1</v>
      </c>
    </row>
    <row r="433" spans="1:16" x14ac:dyDescent="0.35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t="s">
        <v>30</v>
      </c>
      <c r="J433">
        <v>1.1000000000000001</v>
      </c>
      <c r="K433">
        <v>1</v>
      </c>
      <c r="M433" t="s">
        <v>51</v>
      </c>
      <c r="N433" t="s">
        <v>31</v>
      </c>
      <c r="O433">
        <v>13</v>
      </c>
      <c r="P433">
        <v>9</v>
      </c>
    </row>
    <row r="434" spans="1:16" x14ac:dyDescent="0.35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2">
        <v>50</v>
      </c>
      <c r="J434">
        <v>3.3</v>
      </c>
      <c r="K434" t="s">
        <v>82</v>
      </c>
      <c r="L434" s="1">
        <v>0.93</v>
      </c>
      <c r="M434" t="s">
        <v>51</v>
      </c>
      <c r="N434" t="s">
        <v>23</v>
      </c>
      <c r="O434">
        <v>10</v>
      </c>
      <c r="P434">
        <v>10</v>
      </c>
    </row>
    <row r="435" spans="1:16" x14ac:dyDescent="0.35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117</v>
      </c>
      <c r="J435">
        <v>4.5999999999999996</v>
      </c>
      <c r="L435" s="1">
        <v>0.97</v>
      </c>
      <c r="M435" t="s">
        <v>76</v>
      </c>
      <c r="N435" t="s">
        <v>23</v>
      </c>
      <c r="O435">
        <v>1</v>
      </c>
      <c r="P435">
        <v>1</v>
      </c>
    </row>
    <row r="436" spans="1:16" x14ac:dyDescent="0.35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t="s">
        <v>58</v>
      </c>
      <c r="J436">
        <v>2.8</v>
      </c>
      <c r="K436">
        <v>1</v>
      </c>
      <c r="L436" s="1">
        <v>0.92</v>
      </c>
      <c r="M436" t="s">
        <v>71</v>
      </c>
      <c r="N436" t="s">
        <v>38</v>
      </c>
      <c r="O436">
        <v>7</v>
      </c>
      <c r="P436">
        <v>4</v>
      </c>
    </row>
    <row r="437" spans="1:16" x14ac:dyDescent="0.35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>
        <v>50</v>
      </c>
      <c r="J437">
        <v>5</v>
      </c>
      <c r="K437" t="s">
        <v>82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>
        <v>75</v>
      </c>
      <c r="J438">
        <v>4.7</v>
      </c>
      <c r="K438" t="s">
        <v>166</v>
      </c>
      <c r="L438" s="1">
        <v>0.68</v>
      </c>
      <c r="M438" t="s">
        <v>76</v>
      </c>
      <c r="N438" t="s">
        <v>23</v>
      </c>
      <c r="O438">
        <v>1</v>
      </c>
      <c r="P438">
        <v>2</v>
      </c>
    </row>
    <row r="439" spans="1:16" x14ac:dyDescent="0.35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>
        <v>100</v>
      </c>
      <c r="J439">
        <v>3.5</v>
      </c>
      <c r="K439" t="s">
        <v>166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71</v>
      </c>
      <c r="N440" t="s">
        <v>23</v>
      </c>
      <c r="O440">
        <v>7</v>
      </c>
      <c r="P440">
        <v>12</v>
      </c>
    </row>
    <row r="441" spans="1:16" x14ac:dyDescent="0.35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t="s">
        <v>30</v>
      </c>
      <c r="J441">
        <v>3.3</v>
      </c>
      <c r="K441" t="s">
        <v>75</v>
      </c>
      <c r="L441" s="1">
        <v>0.66</v>
      </c>
      <c r="M441" t="s">
        <v>51</v>
      </c>
      <c r="N441" t="s">
        <v>31</v>
      </c>
      <c r="O441">
        <v>14</v>
      </c>
      <c r="P441">
        <v>9</v>
      </c>
    </row>
    <row r="442" spans="1:16" x14ac:dyDescent="0.35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71</v>
      </c>
      <c r="N442" t="s">
        <v>23</v>
      </c>
      <c r="O442">
        <v>14</v>
      </c>
      <c r="P442">
        <v>8</v>
      </c>
    </row>
    <row r="443" spans="1:16" x14ac:dyDescent="0.35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t="s">
        <v>319</v>
      </c>
      <c r="J443">
        <v>2.8</v>
      </c>
      <c r="L443" s="1">
        <v>0.99</v>
      </c>
      <c r="M443" t="s">
        <v>76</v>
      </c>
      <c r="N443" t="s">
        <v>38</v>
      </c>
      <c r="O443">
        <v>4</v>
      </c>
      <c r="P443">
        <v>1</v>
      </c>
    </row>
    <row r="444" spans="1:16" x14ac:dyDescent="0.35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51</v>
      </c>
      <c r="N444" t="s">
        <v>31</v>
      </c>
      <c r="O444">
        <v>4</v>
      </c>
      <c r="P444">
        <v>1</v>
      </c>
    </row>
    <row r="445" spans="1:16" x14ac:dyDescent="0.35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2">
        <v>50</v>
      </c>
      <c r="J445">
        <v>0</v>
      </c>
      <c r="K445" t="b">
        <v>0</v>
      </c>
      <c r="L445">
        <v>84</v>
      </c>
      <c r="M445" t="s">
        <v>76</v>
      </c>
      <c r="N445" t="s">
        <v>23</v>
      </c>
      <c r="O445">
        <v>5</v>
      </c>
      <c r="P445">
        <v>1</v>
      </c>
    </row>
    <row r="446" spans="1:16" x14ac:dyDescent="0.35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2">
        <v>20</v>
      </c>
      <c r="K446" t="s">
        <v>82</v>
      </c>
      <c r="L446" s="1">
        <v>0.92</v>
      </c>
      <c r="M446" t="s">
        <v>76</v>
      </c>
      <c r="N446" t="s">
        <v>38</v>
      </c>
      <c r="O446">
        <v>12</v>
      </c>
      <c r="P446">
        <v>4</v>
      </c>
    </row>
    <row r="447" spans="1:16" x14ac:dyDescent="0.35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2">
        <v>75</v>
      </c>
      <c r="J447">
        <v>4.3</v>
      </c>
      <c r="K447" t="s">
        <v>75</v>
      </c>
      <c r="M447" t="s">
        <v>71</v>
      </c>
      <c r="N447" t="s">
        <v>31</v>
      </c>
      <c r="O447">
        <v>14</v>
      </c>
      <c r="P447">
        <v>4</v>
      </c>
    </row>
    <row r="448" spans="1:16" x14ac:dyDescent="0.35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t="s">
        <v>106</v>
      </c>
      <c r="K448" t="s">
        <v>166</v>
      </c>
      <c r="L448">
        <v>90</v>
      </c>
      <c r="M448" t="s">
        <v>76</v>
      </c>
      <c r="N448" t="s">
        <v>23</v>
      </c>
      <c r="O448">
        <v>6</v>
      </c>
      <c r="P448">
        <v>5</v>
      </c>
    </row>
    <row r="449" spans="1:16" x14ac:dyDescent="0.35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71</v>
      </c>
      <c r="N449" t="s">
        <v>23</v>
      </c>
      <c r="O449">
        <v>1</v>
      </c>
      <c r="P449">
        <v>1</v>
      </c>
    </row>
    <row r="450" spans="1:16" x14ac:dyDescent="0.35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51</v>
      </c>
      <c r="N450" t="s">
        <v>23</v>
      </c>
      <c r="O450">
        <v>1</v>
      </c>
      <c r="P450">
        <v>2</v>
      </c>
    </row>
    <row r="451" spans="1:16" x14ac:dyDescent="0.35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>
        <v>30</v>
      </c>
      <c r="J451">
        <v>2.9</v>
      </c>
      <c r="K451" t="b">
        <v>1</v>
      </c>
      <c r="L451" s="1">
        <v>0.78</v>
      </c>
      <c r="M451" t="s">
        <v>71</v>
      </c>
      <c r="N451" t="s">
        <v>31</v>
      </c>
      <c r="O451">
        <v>3</v>
      </c>
      <c r="P451">
        <v>3</v>
      </c>
    </row>
    <row r="452" spans="1:16" x14ac:dyDescent="0.35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51</v>
      </c>
      <c r="N452" t="s">
        <v>38</v>
      </c>
      <c r="O452">
        <v>9</v>
      </c>
      <c r="P452">
        <v>14</v>
      </c>
    </row>
    <row r="453" spans="1:16" x14ac:dyDescent="0.35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71</v>
      </c>
      <c r="N453" t="s">
        <v>38</v>
      </c>
      <c r="O453">
        <v>18</v>
      </c>
      <c r="P453">
        <v>7</v>
      </c>
    </row>
    <row r="454" spans="1:16" x14ac:dyDescent="0.35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65</v>
      </c>
      <c r="O454">
        <v>2</v>
      </c>
      <c r="P454">
        <v>3</v>
      </c>
    </row>
    <row r="455" spans="1:16" x14ac:dyDescent="0.35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5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2">
        <v>40</v>
      </c>
      <c r="J456">
        <v>2.4</v>
      </c>
      <c r="K456" t="b">
        <v>0</v>
      </c>
      <c r="M456" t="s">
        <v>76</v>
      </c>
      <c r="N456" t="s">
        <v>65</v>
      </c>
      <c r="O456">
        <v>9</v>
      </c>
      <c r="P456">
        <v>2</v>
      </c>
    </row>
    <row r="457" spans="1:16" x14ac:dyDescent="0.35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2">
        <v>100</v>
      </c>
      <c r="J457">
        <v>4.7</v>
      </c>
      <c r="K457" t="s">
        <v>37</v>
      </c>
      <c r="L457" s="1">
        <v>0.96</v>
      </c>
      <c r="M457" t="s">
        <v>71</v>
      </c>
      <c r="N457" t="s">
        <v>65</v>
      </c>
      <c r="O457">
        <v>2</v>
      </c>
      <c r="P457">
        <v>1</v>
      </c>
    </row>
    <row r="458" spans="1:16" x14ac:dyDescent="0.35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2">
        <v>75</v>
      </c>
      <c r="J458">
        <v>2</v>
      </c>
      <c r="K458">
        <v>0</v>
      </c>
      <c r="M458" t="s">
        <v>71</v>
      </c>
      <c r="N458" t="s">
        <v>38</v>
      </c>
      <c r="O458">
        <v>4</v>
      </c>
      <c r="P458">
        <v>3</v>
      </c>
    </row>
    <row r="459" spans="1:16" x14ac:dyDescent="0.35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51</v>
      </c>
      <c r="N459" t="s">
        <v>31</v>
      </c>
      <c r="O459">
        <v>4</v>
      </c>
      <c r="P459">
        <v>1</v>
      </c>
    </row>
    <row r="460" spans="1:16" x14ac:dyDescent="0.35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>
        <v>100</v>
      </c>
      <c r="J460">
        <v>2.1</v>
      </c>
      <c r="K460">
        <v>1</v>
      </c>
      <c r="M460" t="s">
        <v>76</v>
      </c>
      <c r="N460" t="s">
        <v>31</v>
      </c>
      <c r="O460">
        <v>4</v>
      </c>
      <c r="P460">
        <v>1</v>
      </c>
    </row>
    <row r="461" spans="1:16" x14ac:dyDescent="0.35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71</v>
      </c>
      <c r="N461" t="s">
        <v>38</v>
      </c>
      <c r="O461">
        <v>5</v>
      </c>
      <c r="P461">
        <v>4</v>
      </c>
    </row>
    <row r="462" spans="1:16" x14ac:dyDescent="0.35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76</v>
      </c>
      <c r="N462" t="s">
        <v>31</v>
      </c>
      <c r="O462">
        <v>14</v>
      </c>
      <c r="P462">
        <v>9</v>
      </c>
    </row>
    <row r="463" spans="1:16" x14ac:dyDescent="0.35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>
        <v>50</v>
      </c>
      <c r="J463">
        <v>2.9</v>
      </c>
      <c r="K463" t="s">
        <v>166</v>
      </c>
      <c r="L463" s="1">
        <v>0.81</v>
      </c>
      <c r="M463" t="s">
        <v>22</v>
      </c>
      <c r="N463" t="s">
        <v>65</v>
      </c>
      <c r="O463">
        <v>1</v>
      </c>
      <c r="P463">
        <v>1</v>
      </c>
    </row>
    <row r="464" spans="1:16" x14ac:dyDescent="0.35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2">
        <v>50</v>
      </c>
      <c r="J464">
        <v>4.0999999999999996</v>
      </c>
      <c r="K464" t="s">
        <v>82</v>
      </c>
      <c r="L464" s="1">
        <v>0.62</v>
      </c>
      <c r="M464" t="s">
        <v>71</v>
      </c>
      <c r="N464" t="s">
        <v>23</v>
      </c>
      <c r="O464">
        <v>7</v>
      </c>
      <c r="P464">
        <v>4</v>
      </c>
    </row>
    <row r="465" spans="1:16" x14ac:dyDescent="0.35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71</v>
      </c>
      <c r="N465" t="s">
        <v>38</v>
      </c>
      <c r="O465">
        <v>9</v>
      </c>
      <c r="P465">
        <v>4</v>
      </c>
    </row>
    <row r="466" spans="1:16" x14ac:dyDescent="0.35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2">
        <v>100</v>
      </c>
      <c r="J466">
        <v>2.5</v>
      </c>
      <c r="K466" t="b">
        <v>0</v>
      </c>
      <c r="M466" t="s">
        <v>76</v>
      </c>
      <c r="N466" t="s">
        <v>23</v>
      </c>
      <c r="O466">
        <v>6</v>
      </c>
      <c r="P466">
        <v>2</v>
      </c>
    </row>
    <row r="467" spans="1:16" x14ac:dyDescent="0.35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t="s">
        <v>117</v>
      </c>
      <c r="J467">
        <v>0</v>
      </c>
      <c r="K467">
        <v>1</v>
      </c>
      <c r="L467">
        <v>76</v>
      </c>
      <c r="M467" t="s">
        <v>71</v>
      </c>
      <c r="N467" t="s">
        <v>31</v>
      </c>
      <c r="O467">
        <v>5</v>
      </c>
      <c r="P467">
        <v>3</v>
      </c>
    </row>
    <row r="468" spans="1:16" x14ac:dyDescent="0.35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76</v>
      </c>
      <c r="N468" t="s">
        <v>23</v>
      </c>
      <c r="O468">
        <v>9</v>
      </c>
      <c r="P468">
        <v>10</v>
      </c>
    </row>
    <row r="469" spans="1:16" x14ac:dyDescent="0.35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>
        <v>100</v>
      </c>
      <c r="J469">
        <v>3.8</v>
      </c>
      <c r="K469" t="s">
        <v>75</v>
      </c>
      <c r="L469" s="1">
        <v>0.71</v>
      </c>
      <c r="M469" t="s">
        <v>71</v>
      </c>
      <c r="N469" t="s">
        <v>31</v>
      </c>
      <c r="O469">
        <v>16</v>
      </c>
      <c r="P469">
        <v>5</v>
      </c>
    </row>
    <row r="470" spans="1:16" x14ac:dyDescent="0.35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t="s">
        <v>117</v>
      </c>
      <c r="J470">
        <v>4.3</v>
      </c>
      <c r="K470">
        <v>1</v>
      </c>
      <c r="L470" s="1">
        <v>0.83</v>
      </c>
      <c r="M470" t="s">
        <v>51</v>
      </c>
      <c r="N470" t="s">
        <v>31</v>
      </c>
      <c r="O470">
        <v>11</v>
      </c>
      <c r="P470">
        <v>3</v>
      </c>
    </row>
    <row r="471" spans="1:16" x14ac:dyDescent="0.35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76</v>
      </c>
      <c r="N471" t="s">
        <v>65</v>
      </c>
      <c r="O471">
        <v>7</v>
      </c>
      <c r="P471">
        <v>9</v>
      </c>
    </row>
    <row r="472" spans="1:16" x14ac:dyDescent="0.35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71</v>
      </c>
      <c r="N472" t="s">
        <v>31</v>
      </c>
      <c r="O472">
        <v>2</v>
      </c>
      <c r="P472">
        <v>1</v>
      </c>
    </row>
    <row r="473" spans="1:16" x14ac:dyDescent="0.35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>
        <v>50</v>
      </c>
      <c r="J473">
        <v>4.7</v>
      </c>
      <c r="K473" t="s">
        <v>82</v>
      </c>
      <c r="L473" s="1">
        <v>0.6</v>
      </c>
      <c r="M473" t="s">
        <v>22</v>
      </c>
      <c r="N473" t="s">
        <v>65</v>
      </c>
      <c r="O473">
        <v>13</v>
      </c>
      <c r="P473">
        <v>10</v>
      </c>
    </row>
    <row r="474" spans="1:16" x14ac:dyDescent="0.35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2">
        <v>40</v>
      </c>
      <c r="J474">
        <v>1.3</v>
      </c>
      <c r="K474" t="b">
        <v>1</v>
      </c>
      <c r="M474" t="s">
        <v>71</v>
      </c>
      <c r="N474" t="s">
        <v>65</v>
      </c>
      <c r="O474">
        <v>15</v>
      </c>
      <c r="P474">
        <v>4</v>
      </c>
    </row>
    <row r="475" spans="1:16" x14ac:dyDescent="0.35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65</v>
      </c>
      <c r="O475">
        <v>1</v>
      </c>
      <c r="P475">
        <v>2</v>
      </c>
    </row>
    <row r="476" spans="1:16" x14ac:dyDescent="0.35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51</v>
      </c>
      <c r="N477" t="s">
        <v>38</v>
      </c>
      <c r="O477">
        <v>7</v>
      </c>
      <c r="P477">
        <v>14</v>
      </c>
    </row>
    <row r="478" spans="1:16" x14ac:dyDescent="0.35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>
        <v>30</v>
      </c>
      <c r="K478">
        <v>1</v>
      </c>
      <c r="M478" t="s">
        <v>76</v>
      </c>
      <c r="N478" t="s">
        <v>31</v>
      </c>
      <c r="O478">
        <v>14</v>
      </c>
      <c r="P478">
        <v>3</v>
      </c>
    </row>
    <row r="479" spans="1:16" x14ac:dyDescent="0.35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t="s">
        <v>117</v>
      </c>
      <c r="J479">
        <v>0</v>
      </c>
      <c r="K479" t="s">
        <v>75</v>
      </c>
      <c r="M479" t="s">
        <v>71</v>
      </c>
      <c r="N479" t="s">
        <v>65</v>
      </c>
      <c r="O479">
        <v>12</v>
      </c>
      <c r="P479">
        <v>10</v>
      </c>
    </row>
    <row r="480" spans="1:16" x14ac:dyDescent="0.35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>
        <v>30</v>
      </c>
      <c r="J480">
        <v>0</v>
      </c>
      <c r="K480" t="s">
        <v>75</v>
      </c>
      <c r="L480" s="1">
        <v>0.84</v>
      </c>
      <c r="M480" t="s">
        <v>51</v>
      </c>
      <c r="N480" t="s">
        <v>38</v>
      </c>
      <c r="O480">
        <v>6</v>
      </c>
      <c r="P480">
        <v>4</v>
      </c>
    </row>
    <row r="481" spans="1:16" x14ac:dyDescent="0.35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>
        <v>75</v>
      </c>
      <c r="J481">
        <v>2.7</v>
      </c>
      <c r="K481">
        <v>1</v>
      </c>
      <c r="M481" t="s">
        <v>71</v>
      </c>
      <c r="N481" t="s">
        <v>65</v>
      </c>
      <c r="O481">
        <v>17</v>
      </c>
      <c r="P481">
        <v>8</v>
      </c>
    </row>
    <row r="482" spans="1:16" x14ac:dyDescent="0.35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>
        <v>40</v>
      </c>
      <c r="J482">
        <v>2.4</v>
      </c>
      <c r="K482" t="s">
        <v>166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76</v>
      </c>
      <c r="N483" t="s">
        <v>23</v>
      </c>
      <c r="O483">
        <v>4</v>
      </c>
      <c r="P483">
        <v>3</v>
      </c>
    </row>
    <row r="484" spans="1:16" x14ac:dyDescent="0.35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2">
        <v>20</v>
      </c>
      <c r="J484">
        <v>3.6</v>
      </c>
      <c r="K484" t="s">
        <v>166</v>
      </c>
      <c r="L484" s="1">
        <v>0.69</v>
      </c>
      <c r="M484" t="s">
        <v>71</v>
      </c>
      <c r="N484" t="s">
        <v>23</v>
      </c>
      <c r="O484">
        <v>15</v>
      </c>
      <c r="P484">
        <v>6</v>
      </c>
    </row>
    <row r="485" spans="1:16" x14ac:dyDescent="0.35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>
        <v>50</v>
      </c>
      <c r="J485">
        <v>2.9</v>
      </c>
      <c r="K485" t="s">
        <v>75</v>
      </c>
      <c r="L485" s="1">
        <v>0.65</v>
      </c>
      <c r="M485" t="s">
        <v>71</v>
      </c>
      <c r="N485" t="s">
        <v>31</v>
      </c>
      <c r="O485">
        <v>2</v>
      </c>
      <c r="P485">
        <v>1</v>
      </c>
    </row>
    <row r="486" spans="1:16" x14ac:dyDescent="0.35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22</v>
      </c>
      <c r="N486" t="s">
        <v>65</v>
      </c>
      <c r="O486">
        <v>5</v>
      </c>
      <c r="P486">
        <v>1</v>
      </c>
    </row>
    <row r="487" spans="1:16" x14ac:dyDescent="0.35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>
        <v>75</v>
      </c>
      <c r="J487">
        <v>2.6</v>
      </c>
      <c r="K487" t="b">
        <v>0</v>
      </c>
      <c r="M487" t="s">
        <v>71</v>
      </c>
      <c r="N487" t="s">
        <v>23</v>
      </c>
      <c r="O487">
        <v>13</v>
      </c>
      <c r="P487">
        <v>13</v>
      </c>
    </row>
    <row r="488" spans="1:16" x14ac:dyDescent="0.35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2">
        <v>100</v>
      </c>
      <c r="J488">
        <v>2.7</v>
      </c>
      <c r="L488" s="1">
        <v>0.62</v>
      </c>
      <c r="M488" t="s">
        <v>71</v>
      </c>
      <c r="N488" t="s">
        <v>38</v>
      </c>
      <c r="O488">
        <v>8</v>
      </c>
      <c r="P488">
        <v>4</v>
      </c>
    </row>
    <row r="489" spans="1:16" x14ac:dyDescent="0.35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>
        <v>30</v>
      </c>
      <c r="J489">
        <v>1.1000000000000001</v>
      </c>
      <c r="K489" t="s">
        <v>75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t="s">
        <v>117</v>
      </c>
      <c r="J490">
        <v>0</v>
      </c>
      <c r="K490" t="s">
        <v>75</v>
      </c>
      <c r="L490" s="1">
        <v>0.89</v>
      </c>
      <c r="M490" t="s">
        <v>51</v>
      </c>
      <c r="N490" t="s">
        <v>23</v>
      </c>
      <c r="O490">
        <v>11</v>
      </c>
      <c r="P490">
        <v>10</v>
      </c>
    </row>
    <row r="491" spans="1:16" x14ac:dyDescent="0.35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2">
        <v>40</v>
      </c>
      <c r="J491">
        <v>0</v>
      </c>
      <c r="K491" t="s">
        <v>75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51</v>
      </c>
      <c r="N492" t="s">
        <v>31</v>
      </c>
      <c r="O492">
        <v>2</v>
      </c>
      <c r="P492">
        <v>1</v>
      </c>
    </row>
    <row r="493" spans="1:16" x14ac:dyDescent="0.35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t="s">
        <v>76</v>
      </c>
      <c r="N493" t="s">
        <v>38</v>
      </c>
      <c r="O493">
        <v>15</v>
      </c>
      <c r="P493">
        <v>2</v>
      </c>
    </row>
    <row r="494" spans="1:16" x14ac:dyDescent="0.35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>
        <v>40</v>
      </c>
      <c r="J494">
        <v>1.5</v>
      </c>
      <c r="L494" s="1">
        <v>0.6</v>
      </c>
      <c r="M494" t="s">
        <v>51</v>
      </c>
      <c r="N494" t="s">
        <v>65</v>
      </c>
      <c r="O494">
        <v>15</v>
      </c>
      <c r="P494">
        <v>10</v>
      </c>
    </row>
    <row r="495" spans="1:16" x14ac:dyDescent="0.35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>
        <v>40</v>
      </c>
      <c r="J495">
        <v>2</v>
      </c>
      <c r="K495" t="s">
        <v>166</v>
      </c>
      <c r="L495" s="1">
        <v>0.85</v>
      </c>
      <c r="M495" t="s">
        <v>51</v>
      </c>
      <c r="N495" t="s">
        <v>38</v>
      </c>
      <c r="O495">
        <v>7</v>
      </c>
      <c r="P495">
        <v>6</v>
      </c>
    </row>
    <row r="496" spans="1:16" x14ac:dyDescent="0.35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2">
        <v>40</v>
      </c>
      <c r="J496">
        <v>1.6</v>
      </c>
      <c r="L496" s="1">
        <v>0.83</v>
      </c>
      <c r="M496" t="s">
        <v>76</v>
      </c>
      <c r="N496" t="s">
        <v>65</v>
      </c>
      <c r="O496">
        <v>4</v>
      </c>
      <c r="P496">
        <v>2</v>
      </c>
    </row>
    <row r="497" spans="1:16" x14ac:dyDescent="0.35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2">
        <v>30</v>
      </c>
      <c r="J497">
        <v>1.5</v>
      </c>
      <c r="K497" t="s">
        <v>37</v>
      </c>
      <c r="L497" s="1">
        <v>0.96</v>
      </c>
      <c r="M497" t="s">
        <v>51</v>
      </c>
      <c r="N497" t="s">
        <v>31</v>
      </c>
      <c r="O497">
        <v>5</v>
      </c>
      <c r="P497">
        <v>1</v>
      </c>
    </row>
    <row r="498" spans="1:16" x14ac:dyDescent="0.35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51</v>
      </c>
      <c r="N499" t="s">
        <v>31</v>
      </c>
      <c r="O499">
        <v>20</v>
      </c>
      <c r="P499">
        <v>3</v>
      </c>
    </row>
    <row r="500" spans="1:16" x14ac:dyDescent="0.35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76</v>
      </c>
      <c r="N500" t="s">
        <v>31</v>
      </c>
      <c r="O500">
        <v>3</v>
      </c>
      <c r="P500">
        <v>4</v>
      </c>
    </row>
    <row r="501" spans="1:16" x14ac:dyDescent="0.35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22</v>
      </c>
      <c r="N501" t="s">
        <v>65</v>
      </c>
      <c r="O501">
        <v>13</v>
      </c>
      <c r="P501">
        <v>10</v>
      </c>
    </row>
    <row r="502" spans="1:16" x14ac:dyDescent="0.35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76</v>
      </c>
      <c r="N502" t="s">
        <v>23</v>
      </c>
      <c r="O502">
        <v>8</v>
      </c>
      <c r="P502">
        <v>9</v>
      </c>
    </row>
    <row r="503" spans="1:16" x14ac:dyDescent="0.35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2">
        <v>50</v>
      </c>
      <c r="K503" t="s">
        <v>75</v>
      </c>
      <c r="L503" s="1">
        <v>0.7</v>
      </c>
      <c r="M503" t="s">
        <v>76</v>
      </c>
      <c r="N503" t="s">
        <v>65</v>
      </c>
      <c r="O503">
        <v>4</v>
      </c>
      <c r="P503">
        <v>5</v>
      </c>
    </row>
    <row r="504" spans="1:16" x14ac:dyDescent="0.35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t="s">
        <v>117</v>
      </c>
      <c r="J504">
        <v>4.2</v>
      </c>
      <c r="K504" t="s">
        <v>75</v>
      </c>
      <c r="L504" s="1">
        <v>0.79</v>
      </c>
      <c r="M504" t="s">
        <v>71</v>
      </c>
      <c r="N504" t="s">
        <v>38</v>
      </c>
      <c r="O504">
        <v>3</v>
      </c>
      <c r="P504">
        <v>2</v>
      </c>
    </row>
    <row r="505" spans="1:16" x14ac:dyDescent="0.35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71</v>
      </c>
      <c r="N505" t="s">
        <v>31</v>
      </c>
      <c r="O505">
        <v>2</v>
      </c>
      <c r="P505">
        <v>3</v>
      </c>
    </row>
    <row r="506" spans="1:16" x14ac:dyDescent="0.35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t="s">
        <v>117</v>
      </c>
      <c r="J506">
        <v>1</v>
      </c>
      <c r="K506" t="s">
        <v>37</v>
      </c>
      <c r="L506" s="1">
        <v>0.81</v>
      </c>
      <c r="M506" t="s">
        <v>76</v>
      </c>
      <c r="N506" t="s">
        <v>31</v>
      </c>
      <c r="O506">
        <v>1</v>
      </c>
      <c r="P506">
        <v>3</v>
      </c>
    </row>
    <row r="507" spans="1:16" x14ac:dyDescent="0.35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76</v>
      </c>
      <c r="N507" t="s">
        <v>38</v>
      </c>
      <c r="O507">
        <v>12</v>
      </c>
      <c r="P507">
        <v>6</v>
      </c>
    </row>
    <row r="508" spans="1:16" x14ac:dyDescent="0.35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76</v>
      </c>
      <c r="N508" t="s">
        <v>65</v>
      </c>
      <c r="O508">
        <v>2</v>
      </c>
      <c r="P508">
        <v>1</v>
      </c>
    </row>
    <row r="509" spans="1:16" x14ac:dyDescent="0.35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t="s">
        <v>106</v>
      </c>
      <c r="J509">
        <v>3.1</v>
      </c>
      <c r="K509" t="s">
        <v>37</v>
      </c>
      <c r="M509" t="s">
        <v>71</v>
      </c>
      <c r="N509" t="s">
        <v>23</v>
      </c>
      <c r="O509">
        <v>15</v>
      </c>
      <c r="P509">
        <v>9</v>
      </c>
    </row>
    <row r="510" spans="1:16" x14ac:dyDescent="0.35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71</v>
      </c>
      <c r="N510" t="s">
        <v>23</v>
      </c>
      <c r="O510">
        <v>2</v>
      </c>
      <c r="P510">
        <v>3</v>
      </c>
    </row>
    <row r="511" spans="1:16" x14ac:dyDescent="0.35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t="s">
        <v>58</v>
      </c>
      <c r="J511">
        <v>0</v>
      </c>
      <c r="K511">
        <v>0</v>
      </c>
      <c r="L511" s="1">
        <v>0.94</v>
      </c>
      <c r="M511" t="s">
        <v>51</v>
      </c>
      <c r="N511" t="s">
        <v>38</v>
      </c>
      <c r="O511">
        <v>18</v>
      </c>
      <c r="P511">
        <v>6</v>
      </c>
    </row>
    <row r="512" spans="1:16" x14ac:dyDescent="0.35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51</v>
      </c>
      <c r="N512" t="s">
        <v>23</v>
      </c>
      <c r="O512">
        <v>5</v>
      </c>
      <c r="P512">
        <v>2</v>
      </c>
    </row>
    <row r="513" spans="1:16" x14ac:dyDescent="0.35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76</v>
      </c>
      <c r="N513" t="s">
        <v>65</v>
      </c>
      <c r="O513">
        <v>9</v>
      </c>
      <c r="P513">
        <v>5</v>
      </c>
    </row>
    <row r="514" spans="1:16" x14ac:dyDescent="0.35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65</v>
      </c>
      <c r="O514">
        <v>8</v>
      </c>
      <c r="P514">
        <v>10</v>
      </c>
    </row>
    <row r="515" spans="1:16" x14ac:dyDescent="0.35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5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71</v>
      </c>
      <c r="N516" t="s">
        <v>65</v>
      </c>
      <c r="O516">
        <v>1</v>
      </c>
      <c r="P516">
        <v>1</v>
      </c>
    </row>
    <row r="517" spans="1:16" x14ac:dyDescent="0.35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2">
        <v>30</v>
      </c>
      <c r="J517">
        <v>0</v>
      </c>
      <c r="K517" t="s">
        <v>75</v>
      </c>
      <c r="L517" s="1">
        <v>0.78</v>
      </c>
      <c r="M517" t="s">
        <v>71</v>
      </c>
      <c r="N517" t="s">
        <v>31</v>
      </c>
      <c r="O517">
        <v>12</v>
      </c>
      <c r="P517">
        <v>1</v>
      </c>
    </row>
    <row r="518" spans="1:16" x14ac:dyDescent="0.35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t="s">
        <v>106</v>
      </c>
      <c r="J518">
        <v>0</v>
      </c>
      <c r="K518" t="s">
        <v>166</v>
      </c>
      <c r="L518">
        <v>75</v>
      </c>
      <c r="M518" t="s">
        <v>71</v>
      </c>
      <c r="N518" t="s">
        <v>38</v>
      </c>
      <c r="O518">
        <v>2</v>
      </c>
      <c r="P518">
        <v>3</v>
      </c>
    </row>
    <row r="519" spans="1:16" x14ac:dyDescent="0.35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76</v>
      </c>
      <c r="N519" t="s">
        <v>65</v>
      </c>
      <c r="O519">
        <v>6</v>
      </c>
      <c r="P519">
        <v>9</v>
      </c>
    </row>
    <row r="520" spans="1:16" x14ac:dyDescent="0.35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t="s">
        <v>58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t="s">
        <v>58</v>
      </c>
      <c r="J521">
        <v>1.5</v>
      </c>
      <c r="K521">
        <v>1</v>
      </c>
      <c r="L521" s="1">
        <v>0.68</v>
      </c>
      <c r="M521" t="s">
        <v>51</v>
      </c>
      <c r="N521" t="s">
        <v>23</v>
      </c>
      <c r="O521">
        <v>4</v>
      </c>
      <c r="P521">
        <v>2</v>
      </c>
    </row>
    <row r="522" spans="1:16" x14ac:dyDescent="0.35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2">
        <v>100</v>
      </c>
      <c r="J522">
        <v>0</v>
      </c>
      <c r="K522" t="s">
        <v>37</v>
      </c>
      <c r="M522" t="s">
        <v>76</v>
      </c>
      <c r="N522" t="s">
        <v>65</v>
      </c>
      <c r="O522">
        <v>18</v>
      </c>
      <c r="P522">
        <v>3</v>
      </c>
    </row>
    <row r="523" spans="1:16" x14ac:dyDescent="0.35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51</v>
      </c>
      <c r="N523" t="s">
        <v>31</v>
      </c>
      <c r="O523">
        <v>3</v>
      </c>
      <c r="P523">
        <v>1</v>
      </c>
    </row>
    <row r="524" spans="1:16" x14ac:dyDescent="0.35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>
        <v>40</v>
      </c>
      <c r="J524">
        <v>2.6</v>
      </c>
      <c r="K524" t="s">
        <v>166</v>
      </c>
      <c r="L524" s="1">
        <v>0.9</v>
      </c>
      <c r="M524" t="s">
        <v>51</v>
      </c>
      <c r="N524" t="s">
        <v>65</v>
      </c>
      <c r="O524">
        <v>2</v>
      </c>
      <c r="P524">
        <v>4</v>
      </c>
    </row>
    <row r="525" spans="1:16" x14ac:dyDescent="0.35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76</v>
      </c>
      <c r="N525" t="s">
        <v>38</v>
      </c>
      <c r="O525">
        <v>14</v>
      </c>
      <c r="P525">
        <v>1</v>
      </c>
    </row>
    <row r="526" spans="1:16" x14ac:dyDescent="0.35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82</v>
      </c>
      <c r="L526" s="1">
        <v>0.6</v>
      </c>
      <c r="M526" t="s">
        <v>51</v>
      </c>
      <c r="N526" t="s">
        <v>38</v>
      </c>
      <c r="O526">
        <v>17</v>
      </c>
      <c r="P526">
        <v>7</v>
      </c>
    </row>
    <row r="527" spans="1:16" x14ac:dyDescent="0.35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t="s">
        <v>22</v>
      </c>
      <c r="N527" t="s">
        <v>65</v>
      </c>
      <c r="O527">
        <v>6</v>
      </c>
      <c r="P527">
        <v>1</v>
      </c>
    </row>
    <row r="528" spans="1:16" x14ac:dyDescent="0.35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t="s">
        <v>61</v>
      </c>
      <c r="J528">
        <v>4.9000000000000004</v>
      </c>
      <c r="K528" t="b">
        <v>0</v>
      </c>
      <c r="L528" s="1">
        <v>0.74</v>
      </c>
      <c r="M528" t="s">
        <v>51</v>
      </c>
      <c r="N528" t="s">
        <v>31</v>
      </c>
      <c r="O528">
        <v>11</v>
      </c>
      <c r="P528">
        <v>11</v>
      </c>
    </row>
    <row r="529" spans="1:16" x14ac:dyDescent="0.35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2">
        <v>20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2">
        <v>50</v>
      </c>
      <c r="J532">
        <v>0</v>
      </c>
      <c r="K532" t="s">
        <v>75</v>
      </c>
      <c r="L532">
        <v>96</v>
      </c>
      <c r="M532" t="s">
        <v>71</v>
      </c>
      <c r="N532" t="s">
        <v>65</v>
      </c>
      <c r="O532">
        <v>2</v>
      </c>
      <c r="P532">
        <v>2</v>
      </c>
    </row>
    <row r="533" spans="1:16" x14ac:dyDescent="0.35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t="s">
        <v>319</v>
      </c>
      <c r="J533">
        <v>0</v>
      </c>
      <c r="K533">
        <v>0</v>
      </c>
      <c r="L533" s="1">
        <v>0.88</v>
      </c>
      <c r="M533" t="s">
        <v>51</v>
      </c>
      <c r="N533" t="s">
        <v>23</v>
      </c>
      <c r="O533">
        <v>18</v>
      </c>
      <c r="P533">
        <v>8</v>
      </c>
    </row>
    <row r="534" spans="1:16" x14ac:dyDescent="0.35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t="s">
        <v>76</v>
      </c>
      <c r="N534" t="s">
        <v>38</v>
      </c>
      <c r="O534">
        <v>4</v>
      </c>
      <c r="P534">
        <v>1</v>
      </c>
    </row>
    <row r="535" spans="1:16" x14ac:dyDescent="0.35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76</v>
      </c>
      <c r="N535" t="s">
        <v>31</v>
      </c>
      <c r="O535">
        <v>7</v>
      </c>
      <c r="P535">
        <v>5</v>
      </c>
    </row>
    <row r="536" spans="1:16" x14ac:dyDescent="0.35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51</v>
      </c>
      <c r="N536" t="s">
        <v>65</v>
      </c>
      <c r="O536">
        <v>15</v>
      </c>
      <c r="P536">
        <v>4</v>
      </c>
    </row>
    <row r="537" spans="1:16" x14ac:dyDescent="0.35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t="s">
        <v>71</v>
      </c>
      <c r="N537" t="s">
        <v>31</v>
      </c>
      <c r="O537">
        <v>10</v>
      </c>
      <c r="P537">
        <v>5</v>
      </c>
    </row>
    <row r="538" spans="1:16" x14ac:dyDescent="0.35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2">
        <v>30</v>
      </c>
      <c r="J538">
        <v>3.9</v>
      </c>
      <c r="K538" t="s">
        <v>166</v>
      </c>
      <c r="L538" s="1">
        <v>0.65</v>
      </c>
      <c r="M538" t="s">
        <v>71</v>
      </c>
      <c r="N538" t="s">
        <v>23</v>
      </c>
      <c r="O538">
        <v>15</v>
      </c>
      <c r="P538">
        <v>13</v>
      </c>
    </row>
    <row r="539" spans="1:16" x14ac:dyDescent="0.35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2">
        <v>20</v>
      </c>
      <c r="J540">
        <v>2.6</v>
      </c>
      <c r="K540" t="s">
        <v>37</v>
      </c>
      <c r="L540" s="1">
        <v>0.72</v>
      </c>
      <c r="M540" t="s">
        <v>51</v>
      </c>
      <c r="N540" t="s">
        <v>31</v>
      </c>
      <c r="O540">
        <v>2</v>
      </c>
      <c r="P540">
        <v>5</v>
      </c>
    </row>
    <row r="541" spans="1:16" x14ac:dyDescent="0.35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t="s">
        <v>61</v>
      </c>
      <c r="J541">
        <v>2.2999999999999998</v>
      </c>
      <c r="K541">
        <v>1</v>
      </c>
      <c r="L541" s="1">
        <v>0.72</v>
      </c>
      <c r="M541" t="s">
        <v>51</v>
      </c>
      <c r="N541" t="s">
        <v>23</v>
      </c>
      <c r="O541">
        <v>1</v>
      </c>
      <c r="P541">
        <v>2</v>
      </c>
    </row>
    <row r="542" spans="1:16" x14ac:dyDescent="0.35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2">
        <v>30</v>
      </c>
      <c r="J542">
        <v>4.8</v>
      </c>
      <c r="K542" t="s">
        <v>37</v>
      </c>
      <c r="M542" t="s">
        <v>76</v>
      </c>
      <c r="N542" t="s">
        <v>65</v>
      </c>
      <c r="O542">
        <v>1</v>
      </c>
      <c r="P542">
        <v>2</v>
      </c>
    </row>
    <row r="543" spans="1:16" x14ac:dyDescent="0.35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t="s">
        <v>61</v>
      </c>
      <c r="J543">
        <v>4.5</v>
      </c>
      <c r="K543" t="s">
        <v>37</v>
      </c>
      <c r="L543" s="1">
        <v>0.68</v>
      </c>
      <c r="M543" t="s">
        <v>51</v>
      </c>
      <c r="N543" t="s">
        <v>38</v>
      </c>
      <c r="O543">
        <v>3</v>
      </c>
      <c r="P543">
        <v>2</v>
      </c>
    </row>
    <row r="544" spans="1:16" x14ac:dyDescent="0.35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71</v>
      </c>
      <c r="N544" t="s">
        <v>65</v>
      </c>
      <c r="O544">
        <v>5</v>
      </c>
      <c r="P544">
        <v>3</v>
      </c>
    </row>
    <row r="545" spans="1:16" x14ac:dyDescent="0.35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>
        <v>75</v>
      </c>
      <c r="J545">
        <v>0</v>
      </c>
      <c r="K545" t="s">
        <v>166</v>
      </c>
      <c r="L545" s="1">
        <v>0.72</v>
      </c>
      <c r="M545" t="s">
        <v>51</v>
      </c>
      <c r="N545" t="s">
        <v>23</v>
      </c>
      <c r="O545">
        <v>14</v>
      </c>
      <c r="P545">
        <v>20</v>
      </c>
    </row>
    <row r="546" spans="1:16" x14ac:dyDescent="0.35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>
        <v>40</v>
      </c>
      <c r="J546">
        <v>1.1000000000000001</v>
      </c>
      <c r="K546" t="s">
        <v>166</v>
      </c>
      <c r="L546" s="1">
        <v>0.76</v>
      </c>
      <c r="M546" t="s">
        <v>76</v>
      </c>
      <c r="N546" t="s">
        <v>31</v>
      </c>
      <c r="O546">
        <v>4</v>
      </c>
      <c r="P546">
        <v>1</v>
      </c>
    </row>
    <row r="547" spans="1:16" x14ac:dyDescent="0.35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65</v>
      </c>
      <c r="O547">
        <v>1</v>
      </c>
      <c r="P547">
        <v>3</v>
      </c>
    </row>
    <row r="548" spans="1:16" x14ac:dyDescent="0.35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>
        <v>40</v>
      </c>
      <c r="K548">
        <v>1</v>
      </c>
      <c r="L548" s="1">
        <v>0.91</v>
      </c>
      <c r="M548" t="s">
        <v>76</v>
      </c>
      <c r="N548" t="s">
        <v>38</v>
      </c>
      <c r="O548">
        <v>1</v>
      </c>
      <c r="P548">
        <v>1</v>
      </c>
    </row>
    <row r="549" spans="1:16" x14ac:dyDescent="0.35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>
        <v>100</v>
      </c>
      <c r="K549">
        <v>0</v>
      </c>
      <c r="L549" s="1">
        <v>0.73</v>
      </c>
      <c r="M549" t="s">
        <v>76</v>
      </c>
      <c r="N549" t="s">
        <v>23</v>
      </c>
      <c r="O549">
        <v>1</v>
      </c>
      <c r="P549">
        <v>1</v>
      </c>
    </row>
    <row r="550" spans="1:16" x14ac:dyDescent="0.35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65</v>
      </c>
      <c r="O550">
        <v>5</v>
      </c>
      <c r="P550">
        <v>1</v>
      </c>
    </row>
    <row r="551" spans="1:16" x14ac:dyDescent="0.35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t="s">
        <v>319</v>
      </c>
      <c r="K551">
        <v>1</v>
      </c>
      <c r="L551" s="1">
        <v>0.79</v>
      </c>
      <c r="M551" t="s">
        <v>76</v>
      </c>
      <c r="N551" t="s">
        <v>38</v>
      </c>
      <c r="O551">
        <v>2</v>
      </c>
      <c r="P551">
        <v>1</v>
      </c>
    </row>
    <row r="552" spans="1:16" x14ac:dyDescent="0.35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>
        <v>20</v>
      </c>
      <c r="J552">
        <v>4.0999999999999996</v>
      </c>
      <c r="K552">
        <v>0</v>
      </c>
      <c r="L552">
        <v>75</v>
      </c>
      <c r="M552" t="s">
        <v>76</v>
      </c>
      <c r="N552" t="s">
        <v>23</v>
      </c>
      <c r="O552">
        <v>2</v>
      </c>
      <c r="P552">
        <v>2</v>
      </c>
    </row>
    <row r="553" spans="1:16" x14ac:dyDescent="0.35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51</v>
      </c>
      <c r="N553" t="s">
        <v>38</v>
      </c>
      <c r="O553">
        <v>1</v>
      </c>
      <c r="P553">
        <v>2</v>
      </c>
    </row>
    <row r="554" spans="1:16" x14ac:dyDescent="0.35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2">
        <v>100</v>
      </c>
      <c r="J554">
        <v>1.2</v>
      </c>
      <c r="L554" s="1">
        <v>0.87</v>
      </c>
      <c r="M554" t="s">
        <v>51</v>
      </c>
      <c r="N554" t="s">
        <v>23</v>
      </c>
      <c r="O554">
        <v>1</v>
      </c>
      <c r="P554">
        <v>1</v>
      </c>
    </row>
    <row r="555" spans="1:16" x14ac:dyDescent="0.35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166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>
        <v>50</v>
      </c>
      <c r="J556">
        <v>3.9</v>
      </c>
      <c r="K556" t="s">
        <v>82</v>
      </c>
      <c r="L556" s="1">
        <v>0.88</v>
      </c>
      <c r="M556" t="s">
        <v>51</v>
      </c>
      <c r="N556" t="s">
        <v>65</v>
      </c>
      <c r="O556">
        <v>5</v>
      </c>
      <c r="P556">
        <v>3</v>
      </c>
    </row>
    <row r="557" spans="1:16" x14ac:dyDescent="0.35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>
        <v>40</v>
      </c>
      <c r="J557">
        <v>0</v>
      </c>
      <c r="K557">
        <v>1</v>
      </c>
      <c r="M557" t="s">
        <v>51</v>
      </c>
      <c r="N557" t="s">
        <v>38</v>
      </c>
      <c r="O557">
        <v>15</v>
      </c>
      <c r="P557">
        <v>11</v>
      </c>
    </row>
    <row r="558" spans="1:16" x14ac:dyDescent="0.35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t="s">
        <v>319</v>
      </c>
      <c r="J558">
        <v>4.7</v>
      </c>
      <c r="K558" t="b">
        <v>0</v>
      </c>
      <c r="L558" s="1">
        <v>0.93</v>
      </c>
      <c r="M558" t="s">
        <v>76</v>
      </c>
      <c r="N558" t="s">
        <v>23</v>
      </c>
      <c r="O558">
        <v>5</v>
      </c>
      <c r="P558">
        <v>3</v>
      </c>
    </row>
    <row r="559" spans="1:16" x14ac:dyDescent="0.35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t="s">
        <v>71</v>
      </c>
      <c r="N559" t="s">
        <v>38</v>
      </c>
      <c r="O559">
        <v>13</v>
      </c>
      <c r="P559">
        <v>5</v>
      </c>
    </row>
    <row r="560" spans="1:16" x14ac:dyDescent="0.35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>
        <v>100</v>
      </c>
      <c r="J560">
        <v>3.5</v>
      </c>
      <c r="K560" t="s">
        <v>166</v>
      </c>
      <c r="L560" s="1">
        <v>0.74</v>
      </c>
      <c r="M560" t="s">
        <v>51</v>
      </c>
      <c r="N560" t="s">
        <v>38</v>
      </c>
      <c r="O560">
        <v>19</v>
      </c>
      <c r="P560">
        <v>17</v>
      </c>
    </row>
    <row r="561" spans="1:16" x14ac:dyDescent="0.35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t="s">
        <v>58</v>
      </c>
      <c r="J561">
        <v>4</v>
      </c>
      <c r="L561" s="1">
        <v>0.7</v>
      </c>
      <c r="M561" t="s">
        <v>71</v>
      </c>
      <c r="N561" t="s">
        <v>65</v>
      </c>
      <c r="O561">
        <v>15</v>
      </c>
      <c r="P561">
        <v>15</v>
      </c>
    </row>
    <row r="562" spans="1:16" x14ac:dyDescent="0.35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>
        <v>30</v>
      </c>
      <c r="J562">
        <v>1.6</v>
      </c>
      <c r="K562" t="s">
        <v>82</v>
      </c>
      <c r="L562" s="1">
        <v>0.67</v>
      </c>
      <c r="M562" t="s">
        <v>51</v>
      </c>
      <c r="N562" t="s">
        <v>31</v>
      </c>
      <c r="O562">
        <v>15</v>
      </c>
      <c r="P562">
        <v>5</v>
      </c>
    </row>
    <row r="563" spans="1:16" x14ac:dyDescent="0.35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>
        <v>40</v>
      </c>
      <c r="J563">
        <v>3</v>
      </c>
      <c r="K563" t="s">
        <v>166</v>
      </c>
      <c r="L563" s="1">
        <v>0.86</v>
      </c>
      <c r="M563" t="s">
        <v>51</v>
      </c>
      <c r="N563" t="s">
        <v>38</v>
      </c>
      <c r="O563">
        <v>1</v>
      </c>
      <c r="P563">
        <v>1</v>
      </c>
    </row>
    <row r="564" spans="1:16" x14ac:dyDescent="0.35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>
        <v>50</v>
      </c>
      <c r="J564">
        <v>5</v>
      </c>
      <c r="K564" t="s">
        <v>75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>
        <v>30</v>
      </c>
      <c r="J565">
        <v>4.8</v>
      </c>
      <c r="K565" t="s">
        <v>75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5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2">
        <v>50</v>
      </c>
      <c r="K566" t="s">
        <v>166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t="s">
        <v>71</v>
      </c>
      <c r="N567" t="s">
        <v>23</v>
      </c>
      <c r="O567">
        <v>14</v>
      </c>
      <c r="P567">
        <v>9</v>
      </c>
    </row>
    <row r="568" spans="1:16" x14ac:dyDescent="0.35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t="s">
        <v>76</v>
      </c>
      <c r="N568" t="s">
        <v>31</v>
      </c>
      <c r="O568">
        <v>1</v>
      </c>
      <c r="P568">
        <v>2</v>
      </c>
    </row>
    <row r="569" spans="1:16" x14ac:dyDescent="0.35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51</v>
      </c>
      <c r="N569" t="s">
        <v>23</v>
      </c>
      <c r="O569">
        <v>12</v>
      </c>
      <c r="P569">
        <v>1</v>
      </c>
    </row>
    <row r="570" spans="1:16" x14ac:dyDescent="0.35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51</v>
      </c>
      <c r="N570" t="s">
        <v>65</v>
      </c>
      <c r="O570">
        <v>4</v>
      </c>
      <c r="P570">
        <v>1</v>
      </c>
    </row>
    <row r="571" spans="1:16" x14ac:dyDescent="0.35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51</v>
      </c>
      <c r="N571" t="s">
        <v>38</v>
      </c>
      <c r="O571">
        <v>4</v>
      </c>
      <c r="P571">
        <v>2</v>
      </c>
    </row>
    <row r="572" spans="1:16" x14ac:dyDescent="0.35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t="s">
        <v>71</v>
      </c>
      <c r="N572" t="s">
        <v>65</v>
      </c>
      <c r="O572">
        <v>5</v>
      </c>
      <c r="P572">
        <v>2</v>
      </c>
    </row>
    <row r="573" spans="1:16" x14ac:dyDescent="0.35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>
        <v>75</v>
      </c>
      <c r="J573">
        <v>4.4000000000000004</v>
      </c>
      <c r="K573" t="s">
        <v>82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76</v>
      </c>
      <c r="N574" t="s">
        <v>38</v>
      </c>
      <c r="O574">
        <v>5</v>
      </c>
      <c r="P574">
        <v>1</v>
      </c>
    </row>
    <row r="575" spans="1:16" x14ac:dyDescent="0.35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2">
        <v>30</v>
      </c>
      <c r="J575">
        <v>3.7</v>
      </c>
      <c r="L575" s="1">
        <v>0.83</v>
      </c>
      <c r="M575" t="s">
        <v>71</v>
      </c>
      <c r="N575" t="s">
        <v>38</v>
      </c>
      <c r="O575">
        <v>4</v>
      </c>
      <c r="P575">
        <v>2</v>
      </c>
    </row>
    <row r="576" spans="1:16" x14ac:dyDescent="0.35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65</v>
      </c>
      <c r="O576">
        <v>8</v>
      </c>
      <c r="P576">
        <v>9</v>
      </c>
    </row>
    <row r="577" spans="1:16" x14ac:dyDescent="0.35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>
        <v>100</v>
      </c>
      <c r="J577">
        <v>0</v>
      </c>
      <c r="K577">
        <v>1</v>
      </c>
      <c r="L577" s="1">
        <v>0.96</v>
      </c>
      <c r="M577" t="s">
        <v>71</v>
      </c>
      <c r="N577" t="s">
        <v>38</v>
      </c>
      <c r="O577">
        <v>5</v>
      </c>
      <c r="P577">
        <v>1</v>
      </c>
    </row>
    <row r="578" spans="1:16" x14ac:dyDescent="0.35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t="s">
        <v>106</v>
      </c>
      <c r="K578">
        <v>1</v>
      </c>
      <c r="L578" s="1">
        <v>0.85</v>
      </c>
      <c r="M578" t="s">
        <v>76</v>
      </c>
      <c r="N578" t="s">
        <v>65</v>
      </c>
      <c r="O578">
        <v>3</v>
      </c>
      <c r="P578">
        <v>2</v>
      </c>
    </row>
    <row r="579" spans="1:16" x14ac:dyDescent="0.35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t="s">
        <v>117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2">
        <v>20</v>
      </c>
      <c r="J580">
        <v>4.7</v>
      </c>
      <c r="L580" s="1">
        <v>0.69</v>
      </c>
      <c r="M580" t="s">
        <v>71</v>
      </c>
      <c r="N580" t="s">
        <v>23</v>
      </c>
      <c r="O580">
        <v>10</v>
      </c>
      <c r="P580">
        <v>4</v>
      </c>
    </row>
    <row r="581" spans="1:16" x14ac:dyDescent="0.35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76</v>
      </c>
      <c r="N581" t="s">
        <v>23</v>
      </c>
      <c r="O581">
        <v>4</v>
      </c>
      <c r="P581">
        <v>1</v>
      </c>
    </row>
    <row r="582" spans="1:16" x14ac:dyDescent="0.35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51</v>
      </c>
      <c r="N582" t="s">
        <v>38</v>
      </c>
      <c r="O582">
        <v>14</v>
      </c>
      <c r="P582">
        <v>10</v>
      </c>
    </row>
    <row r="583" spans="1:16" x14ac:dyDescent="0.35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t="s">
        <v>319</v>
      </c>
      <c r="J583">
        <v>1.3</v>
      </c>
      <c r="K583" t="s">
        <v>82</v>
      </c>
      <c r="L583" s="1">
        <v>0.91</v>
      </c>
      <c r="M583" t="s">
        <v>76</v>
      </c>
      <c r="N583" t="s">
        <v>65</v>
      </c>
      <c r="O583">
        <v>5</v>
      </c>
      <c r="P583">
        <v>1</v>
      </c>
    </row>
    <row r="584" spans="1:16" x14ac:dyDescent="0.35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t="s">
        <v>106</v>
      </c>
      <c r="J584">
        <v>2.9</v>
      </c>
      <c r="K584" t="b">
        <v>1</v>
      </c>
      <c r="M584" t="s">
        <v>51</v>
      </c>
      <c r="N584" t="s">
        <v>23</v>
      </c>
      <c r="O584">
        <v>18</v>
      </c>
      <c r="P584">
        <v>13</v>
      </c>
    </row>
    <row r="585" spans="1:16" x14ac:dyDescent="0.35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71</v>
      </c>
      <c r="N585" t="s">
        <v>65</v>
      </c>
      <c r="O585">
        <v>1</v>
      </c>
      <c r="P585">
        <v>3</v>
      </c>
    </row>
    <row r="586" spans="1:16" x14ac:dyDescent="0.35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t="s">
        <v>319</v>
      </c>
      <c r="J586">
        <v>4.2</v>
      </c>
      <c r="L586" s="1">
        <v>0.82</v>
      </c>
      <c r="M586" t="s">
        <v>22</v>
      </c>
      <c r="N586" t="s">
        <v>65</v>
      </c>
      <c r="O586">
        <v>5</v>
      </c>
      <c r="P586">
        <v>2</v>
      </c>
    </row>
    <row r="587" spans="1:16" x14ac:dyDescent="0.35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t="s">
        <v>61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5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2">
        <v>100</v>
      </c>
      <c r="J588">
        <v>4.4000000000000004</v>
      </c>
      <c r="K588" t="b">
        <v>1</v>
      </c>
      <c r="M588" t="s">
        <v>71</v>
      </c>
      <c r="N588" t="s">
        <v>23</v>
      </c>
      <c r="O588">
        <v>5</v>
      </c>
      <c r="P588">
        <v>2</v>
      </c>
    </row>
    <row r="589" spans="1:16" x14ac:dyDescent="0.35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5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t="s">
        <v>319</v>
      </c>
      <c r="J591">
        <v>3.2</v>
      </c>
      <c r="M591" t="s">
        <v>51</v>
      </c>
      <c r="N591" t="s">
        <v>23</v>
      </c>
      <c r="O591">
        <v>18</v>
      </c>
      <c r="P591">
        <v>2</v>
      </c>
    </row>
    <row r="592" spans="1:16" x14ac:dyDescent="0.35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t="s">
        <v>319</v>
      </c>
      <c r="J592">
        <v>3.6</v>
      </c>
      <c r="K592" t="s">
        <v>37</v>
      </c>
      <c r="L592" s="1">
        <v>0.63</v>
      </c>
      <c r="M592" t="s">
        <v>71</v>
      </c>
      <c r="N592" t="s">
        <v>23</v>
      </c>
      <c r="O592">
        <v>16</v>
      </c>
      <c r="P592">
        <v>6</v>
      </c>
    </row>
    <row r="593" spans="1:16" x14ac:dyDescent="0.35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2">
        <v>20</v>
      </c>
      <c r="J593">
        <v>0</v>
      </c>
      <c r="K593">
        <v>0</v>
      </c>
      <c r="M593" t="s">
        <v>76</v>
      </c>
      <c r="N593" t="s">
        <v>31</v>
      </c>
      <c r="O593">
        <v>14</v>
      </c>
      <c r="P593">
        <v>10</v>
      </c>
    </row>
    <row r="594" spans="1:16" x14ac:dyDescent="0.35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51</v>
      </c>
      <c r="N594" t="s">
        <v>31</v>
      </c>
      <c r="O594">
        <v>4</v>
      </c>
      <c r="P594">
        <v>2</v>
      </c>
    </row>
    <row r="595" spans="1:16" x14ac:dyDescent="0.35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58</v>
      </c>
      <c r="J595">
        <v>2.5</v>
      </c>
      <c r="K595" t="s">
        <v>75</v>
      </c>
      <c r="L595">
        <v>60</v>
      </c>
      <c r="M595" t="s">
        <v>71</v>
      </c>
      <c r="N595" t="s">
        <v>65</v>
      </c>
      <c r="O595">
        <v>5</v>
      </c>
      <c r="P595">
        <v>1</v>
      </c>
    </row>
    <row r="596" spans="1:16" x14ac:dyDescent="0.35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51</v>
      </c>
      <c r="N596" t="s">
        <v>23</v>
      </c>
      <c r="O596">
        <v>15</v>
      </c>
      <c r="P596">
        <v>3</v>
      </c>
    </row>
    <row r="597" spans="1:16" x14ac:dyDescent="0.35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76</v>
      </c>
      <c r="N597" t="s">
        <v>31</v>
      </c>
      <c r="O597">
        <v>11</v>
      </c>
      <c r="P597">
        <v>9</v>
      </c>
    </row>
    <row r="598" spans="1:16" x14ac:dyDescent="0.35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t="s">
        <v>106</v>
      </c>
      <c r="J598">
        <v>1.3</v>
      </c>
      <c r="K598">
        <v>1</v>
      </c>
      <c r="L598" s="1">
        <v>0.77</v>
      </c>
      <c r="M598" t="s">
        <v>76</v>
      </c>
      <c r="N598" t="s">
        <v>65</v>
      </c>
      <c r="O598">
        <v>2</v>
      </c>
      <c r="P598">
        <v>4</v>
      </c>
    </row>
    <row r="599" spans="1:16" x14ac:dyDescent="0.35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71</v>
      </c>
      <c r="N599" t="s">
        <v>65</v>
      </c>
      <c r="O599">
        <v>20</v>
      </c>
      <c r="P599">
        <v>5</v>
      </c>
    </row>
    <row r="600" spans="1:16" x14ac:dyDescent="0.35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2">
        <v>40</v>
      </c>
      <c r="J600">
        <v>3.6</v>
      </c>
      <c r="K600" t="s">
        <v>82</v>
      </c>
      <c r="M600" t="s">
        <v>76</v>
      </c>
      <c r="N600" t="s">
        <v>65</v>
      </c>
      <c r="O600">
        <v>13</v>
      </c>
      <c r="P600">
        <v>3</v>
      </c>
    </row>
    <row r="601" spans="1:16" x14ac:dyDescent="0.35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t="s">
        <v>51</v>
      </c>
      <c r="N601" t="s">
        <v>31</v>
      </c>
      <c r="O601">
        <v>12</v>
      </c>
      <c r="P601">
        <v>5</v>
      </c>
    </row>
    <row r="602" spans="1:16" x14ac:dyDescent="0.35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76</v>
      </c>
      <c r="N602" t="s">
        <v>23</v>
      </c>
      <c r="O602">
        <v>1</v>
      </c>
      <c r="P602">
        <v>2</v>
      </c>
    </row>
    <row r="603" spans="1:16" x14ac:dyDescent="0.35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t="s">
        <v>30</v>
      </c>
      <c r="J603">
        <v>1.5</v>
      </c>
      <c r="L603">
        <v>88</v>
      </c>
      <c r="M603" t="s">
        <v>51</v>
      </c>
      <c r="N603" t="s">
        <v>38</v>
      </c>
      <c r="O603">
        <v>19</v>
      </c>
      <c r="P603">
        <v>4</v>
      </c>
    </row>
    <row r="604" spans="1:16" x14ac:dyDescent="0.35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51</v>
      </c>
      <c r="N604" t="s">
        <v>65</v>
      </c>
      <c r="O604">
        <v>13</v>
      </c>
      <c r="P604">
        <v>3</v>
      </c>
    </row>
    <row r="605" spans="1:16" x14ac:dyDescent="0.35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76</v>
      </c>
      <c r="N605" t="s">
        <v>31</v>
      </c>
      <c r="O605">
        <v>13</v>
      </c>
      <c r="P605">
        <v>2</v>
      </c>
    </row>
    <row r="606" spans="1:16" x14ac:dyDescent="0.35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71</v>
      </c>
      <c r="N606" t="s">
        <v>31</v>
      </c>
      <c r="O606">
        <v>13</v>
      </c>
      <c r="P606">
        <v>1</v>
      </c>
    </row>
    <row r="607" spans="1:16" x14ac:dyDescent="0.35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t="s">
        <v>76</v>
      </c>
      <c r="N608" t="s">
        <v>38</v>
      </c>
      <c r="O608">
        <v>12</v>
      </c>
      <c r="P608">
        <v>18</v>
      </c>
    </row>
    <row r="609" spans="1:16" x14ac:dyDescent="0.35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2">
        <v>100</v>
      </c>
      <c r="K609" t="b">
        <v>1</v>
      </c>
      <c r="M609" t="s">
        <v>51</v>
      </c>
      <c r="N609" t="s">
        <v>31</v>
      </c>
      <c r="O609">
        <v>13</v>
      </c>
      <c r="P609">
        <v>6</v>
      </c>
    </row>
    <row r="610" spans="1:16" x14ac:dyDescent="0.35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t="s">
        <v>106</v>
      </c>
      <c r="J610">
        <v>3.8</v>
      </c>
      <c r="K610" t="s">
        <v>37</v>
      </c>
      <c r="L610" s="1">
        <v>0.93</v>
      </c>
      <c r="M610" t="s">
        <v>51</v>
      </c>
      <c r="N610" t="s">
        <v>23</v>
      </c>
      <c r="O610">
        <v>10</v>
      </c>
      <c r="P610">
        <v>14</v>
      </c>
    </row>
    <row r="611" spans="1:16" x14ac:dyDescent="0.35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76</v>
      </c>
      <c r="N611" t="s">
        <v>38</v>
      </c>
      <c r="O611">
        <v>14</v>
      </c>
      <c r="P611">
        <v>7</v>
      </c>
    </row>
    <row r="612" spans="1:16" x14ac:dyDescent="0.35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71</v>
      </c>
      <c r="N612" t="s">
        <v>31</v>
      </c>
      <c r="O612">
        <v>19</v>
      </c>
      <c r="P612">
        <v>15</v>
      </c>
    </row>
    <row r="613" spans="1:16" x14ac:dyDescent="0.35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61</v>
      </c>
      <c r="J613">
        <v>1.1000000000000001</v>
      </c>
      <c r="K613" t="s">
        <v>166</v>
      </c>
      <c r="M613" t="s">
        <v>71</v>
      </c>
      <c r="N613" t="s">
        <v>38</v>
      </c>
      <c r="O613">
        <v>13</v>
      </c>
      <c r="P613">
        <v>2</v>
      </c>
    </row>
    <row r="614" spans="1:16" x14ac:dyDescent="0.35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51</v>
      </c>
      <c r="N614" t="s">
        <v>23</v>
      </c>
      <c r="O614">
        <v>4</v>
      </c>
      <c r="P614">
        <v>2</v>
      </c>
    </row>
    <row r="615" spans="1:16" x14ac:dyDescent="0.35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t="s">
        <v>51</v>
      </c>
      <c r="N615" t="s">
        <v>65</v>
      </c>
      <c r="O615">
        <v>1</v>
      </c>
      <c r="P615">
        <v>5</v>
      </c>
    </row>
    <row r="616" spans="1:16" x14ac:dyDescent="0.35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t="s">
        <v>58</v>
      </c>
      <c r="J616">
        <v>0</v>
      </c>
      <c r="L616" s="1">
        <v>0.85</v>
      </c>
      <c r="M616" t="s">
        <v>71</v>
      </c>
      <c r="N616" t="s">
        <v>38</v>
      </c>
      <c r="O616">
        <v>20</v>
      </c>
      <c r="P616">
        <v>2</v>
      </c>
    </row>
    <row r="617" spans="1:16" x14ac:dyDescent="0.35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76</v>
      </c>
      <c r="N618" t="s">
        <v>31</v>
      </c>
      <c r="O618">
        <v>17</v>
      </c>
      <c r="P618">
        <v>5</v>
      </c>
    </row>
    <row r="619" spans="1:16" x14ac:dyDescent="0.35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t="s">
        <v>61</v>
      </c>
      <c r="K619" t="b">
        <v>0</v>
      </c>
      <c r="L619" s="1">
        <v>0.88</v>
      </c>
      <c r="M619" t="s">
        <v>51</v>
      </c>
      <c r="N619" t="s">
        <v>38</v>
      </c>
      <c r="O619">
        <v>12</v>
      </c>
      <c r="P619">
        <v>3</v>
      </c>
    </row>
    <row r="620" spans="1:16" x14ac:dyDescent="0.35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>
        <v>30</v>
      </c>
      <c r="J620">
        <v>3.3</v>
      </c>
      <c r="L620" s="1">
        <v>0.68</v>
      </c>
      <c r="M620" t="s">
        <v>51</v>
      </c>
      <c r="N620" t="s">
        <v>38</v>
      </c>
      <c r="O620">
        <v>8</v>
      </c>
      <c r="P620">
        <v>14</v>
      </c>
    </row>
    <row r="621" spans="1:16" x14ac:dyDescent="0.35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71</v>
      </c>
      <c r="N621" t="s">
        <v>31</v>
      </c>
      <c r="O621">
        <v>7</v>
      </c>
      <c r="P621">
        <v>4</v>
      </c>
    </row>
    <row r="622" spans="1:16" x14ac:dyDescent="0.35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2">
        <v>75</v>
      </c>
      <c r="J622">
        <v>1.7</v>
      </c>
      <c r="K622" t="s">
        <v>166</v>
      </c>
      <c r="L622" s="1">
        <v>0.91</v>
      </c>
      <c r="M622" t="s">
        <v>76</v>
      </c>
      <c r="N622" t="s">
        <v>65</v>
      </c>
      <c r="O622">
        <v>5</v>
      </c>
      <c r="P622">
        <v>1</v>
      </c>
    </row>
    <row r="623" spans="1:16" x14ac:dyDescent="0.35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>
        <v>30</v>
      </c>
      <c r="J623">
        <v>4.8</v>
      </c>
      <c r="K623" t="b">
        <v>0</v>
      </c>
      <c r="M623" t="s">
        <v>71</v>
      </c>
      <c r="N623" t="s">
        <v>31</v>
      </c>
      <c r="O623">
        <v>10</v>
      </c>
      <c r="P623">
        <v>7</v>
      </c>
    </row>
    <row r="624" spans="1:16" x14ac:dyDescent="0.35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76</v>
      </c>
      <c r="N624" t="s">
        <v>38</v>
      </c>
      <c r="O624">
        <v>1</v>
      </c>
      <c r="P624">
        <v>1</v>
      </c>
    </row>
    <row r="625" spans="1:16" x14ac:dyDescent="0.35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t="s">
        <v>117</v>
      </c>
      <c r="J625">
        <v>2</v>
      </c>
      <c r="K625" t="s">
        <v>75</v>
      </c>
      <c r="L625" s="1">
        <v>0.64</v>
      </c>
      <c r="M625" t="s">
        <v>76</v>
      </c>
      <c r="N625" t="s">
        <v>31</v>
      </c>
      <c r="O625">
        <v>3</v>
      </c>
      <c r="P625">
        <v>1</v>
      </c>
    </row>
    <row r="626" spans="1:16" x14ac:dyDescent="0.35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t="s">
        <v>106</v>
      </c>
      <c r="J626">
        <v>2.8</v>
      </c>
      <c r="K626" t="s">
        <v>166</v>
      </c>
      <c r="L626" s="1">
        <v>0.87</v>
      </c>
      <c r="M626" t="s">
        <v>76</v>
      </c>
      <c r="N626" t="s">
        <v>23</v>
      </c>
      <c r="O626">
        <v>3</v>
      </c>
      <c r="P626">
        <v>1</v>
      </c>
    </row>
    <row r="627" spans="1:16" x14ac:dyDescent="0.35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51</v>
      </c>
      <c r="N627" t="s">
        <v>31</v>
      </c>
      <c r="O627">
        <v>5</v>
      </c>
      <c r="P627">
        <v>1</v>
      </c>
    </row>
    <row r="628" spans="1:16" x14ac:dyDescent="0.35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>
        <v>100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t="s">
        <v>117</v>
      </c>
      <c r="J629">
        <v>4.9000000000000004</v>
      </c>
      <c r="K629" t="b">
        <v>0</v>
      </c>
      <c r="L629" s="1">
        <v>0.73</v>
      </c>
      <c r="M629" t="s">
        <v>71</v>
      </c>
      <c r="N629" t="s">
        <v>31</v>
      </c>
      <c r="O629">
        <v>3</v>
      </c>
      <c r="P629">
        <v>2</v>
      </c>
    </row>
    <row r="630" spans="1:16" x14ac:dyDescent="0.35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t="s">
        <v>58</v>
      </c>
      <c r="J630">
        <v>2.2999999999999998</v>
      </c>
      <c r="L630" s="1">
        <v>0.6</v>
      </c>
      <c r="M630" t="s">
        <v>22</v>
      </c>
      <c r="N630" t="s">
        <v>65</v>
      </c>
      <c r="O630">
        <v>4</v>
      </c>
      <c r="P630">
        <v>1</v>
      </c>
    </row>
    <row r="631" spans="1:16" x14ac:dyDescent="0.35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71</v>
      </c>
      <c r="N631" t="s">
        <v>31</v>
      </c>
      <c r="O631">
        <v>20</v>
      </c>
      <c r="P631">
        <v>19</v>
      </c>
    </row>
    <row r="632" spans="1:16" x14ac:dyDescent="0.35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2">
        <v>75</v>
      </c>
      <c r="J632">
        <v>4.3</v>
      </c>
      <c r="K632">
        <v>0</v>
      </c>
      <c r="L632" s="1">
        <v>0.9</v>
      </c>
      <c r="M632" t="s">
        <v>76</v>
      </c>
      <c r="N632" t="s">
        <v>65</v>
      </c>
      <c r="O632">
        <v>1</v>
      </c>
      <c r="P632">
        <v>2</v>
      </c>
    </row>
    <row r="633" spans="1:16" x14ac:dyDescent="0.35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2">
        <v>75</v>
      </c>
      <c r="J633">
        <v>1.4</v>
      </c>
      <c r="K633">
        <v>0</v>
      </c>
      <c r="M633" t="s">
        <v>51</v>
      </c>
      <c r="N633" t="s">
        <v>23</v>
      </c>
      <c r="O633">
        <v>11</v>
      </c>
      <c r="P633">
        <v>4</v>
      </c>
    </row>
    <row r="634" spans="1:16" x14ac:dyDescent="0.35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>
        <v>100</v>
      </c>
      <c r="K634" t="s">
        <v>166</v>
      </c>
      <c r="M634" t="s">
        <v>22</v>
      </c>
      <c r="N634" t="s">
        <v>65</v>
      </c>
      <c r="O634">
        <v>5</v>
      </c>
      <c r="P634">
        <v>1</v>
      </c>
    </row>
    <row r="635" spans="1:16" x14ac:dyDescent="0.35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t="s">
        <v>51</v>
      </c>
      <c r="N635" t="s">
        <v>31</v>
      </c>
      <c r="O635">
        <v>3</v>
      </c>
      <c r="P635">
        <v>3</v>
      </c>
    </row>
    <row r="636" spans="1:16" x14ac:dyDescent="0.35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71</v>
      </c>
      <c r="N636" t="s">
        <v>38</v>
      </c>
      <c r="O636">
        <v>1</v>
      </c>
      <c r="P636">
        <v>2</v>
      </c>
    </row>
    <row r="637" spans="1:16" x14ac:dyDescent="0.35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51</v>
      </c>
      <c r="N637" t="s">
        <v>65</v>
      </c>
      <c r="O637">
        <v>14</v>
      </c>
      <c r="P637">
        <v>4</v>
      </c>
    </row>
    <row r="638" spans="1:16" x14ac:dyDescent="0.35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2">
        <v>50</v>
      </c>
      <c r="K638" t="s">
        <v>37</v>
      </c>
      <c r="L638" s="1">
        <v>0.64</v>
      </c>
      <c r="M638" t="s">
        <v>51</v>
      </c>
      <c r="N638" t="s">
        <v>23</v>
      </c>
      <c r="O638">
        <v>4</v>
      </c>
      <c r="P638">
        <v>2</v>
      </c>
    </row>
    <row r="639" spans="1:16" x14ac:dyDescent="0.35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2">
        <v>100</v>
      </c>
      <c r="J639">
        <v>1.3</v>
      </c>
      <c r="K639" t="s">
        <v>166</v>
      </c>
      <c r="L639" s="1">
        <v>0.8</v>
      </c>
      <c r="M639" t="s">
        <v>22</v>
      </c>
      <c r="N639" t="s">
        <v>65</v>
      </c>
      <c r="O639">
        <v>18</v>
      </c>
      <c r="P639">
        <v>5</v>
      </c>
    </row>
    <row r="640" spans="1:16" x14ac:dyDescent="0.35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t="s">
        <v>117</v>
      </c>
      <c r="J640">
        <v>1.1000000000000001</v>
      </c>
      <c r="K640" t="b">
        <v>0</v>
      </c>
      <c r="L640" s="1">
        <v>0.9</v>
      </c>
      <c r="M640" t="s">
        <v>76</v>
      </c>
      <c r="N640" t="s">
        <v>65</v>
      </c>
      <c r="O640">
        <v>13</v>
      </c>
      <c r="P640">
        <v>6</v>
      </c>
    </row>
    <row r="641" spans="1:16" x14ac:dyDescent="0.35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51</v>
      </c>
      <c r="N641" t="s">
        <v>65</v>
      </c>
      <c r="O641">
        <v>14</v>
      </c>
      <c r="P641">
        <v>8</v>
      </c>
    </row>
    <row r="642" spans="1:16" x14ac:dyDescent="0.35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76</v>
      </c>
      <c r="N642" t="s">
        <v>23</v>
      </c>
      <c r="O642">
        <v>14</v>
      </c>
      <c r="P642">
        <v>6</v>
      </c>
    </row>
    <row r="643" spans="1:16" x14ac:dyDescent="0.35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t="s">
        <v>319</v>
      </c>
      <c r="K643" t="s">
        <v>75</v>
      </c>
      <c r="L643" s="1">
        <v>0.75</v>
      </c>
      <c r="M643" t="s">
        <v>71</v>
      </c>
      <c r="N643" t="s">
        <v>31</v>
      </c>
      <c r="O643">
        <v>1</v>
      </c>
      <c r="P643">
        <v>1</v>
      </c>
    </row>
    <row r="644" spans="1:16" x14ac:dyDescent="0.35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51</v>
      </c>
      <c r="N644" t="s">
        <v>65</v>
      </c>
      <c r="O644">
        <v>15</v>
      </c>
      <c r="P644">
        <v>9</v>
      </c>
    </row>
    <row r="645" spans="1:16" x14ac:dyDescent="0.35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117</v>
      </c>
      <c r="J645">
        <v>4.2</v>
      </c>
      <c r="K645">
        <v>0</v>
      </c>
      <c r="M645" t="s">
        <v>22</v>
      </c>
      <c r="N645" t="s">
        <v>65</v>
      </c>
      <c r="O645">
        <v>5</v>
      </c>
      <c r="P645">
        <v>2</v>
      </c>
    </row>
    <row r="646" spans="1:16" x14ac:dyDescent="0.35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2">
        <v>50</v>
      </c>
      <c r="K646">
        <v>1</v>
      </c>
      <c r="L646" s="1">
        <v>0.79</v>
      </c>
      <c r="M646" t="s">
        <v>71</v>
      </c>
      <c r="N646" t="s">
        <v>38</v>
      </c>
      <c r="O646">
        <v>14</v>
      </c>
      <c r="P646">
        <v>5</v>
      </c>
    </row>
    <row r="647" spans="1:16" x14ac:dyDescent="0.35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71</v>
      </c>
      <c r="N647" t="s">
        <v>23</v>
      </c>
      <c r="O647">
        <v>5</v>
      </c>
      <c r="P647">
        <v>1</v>
      </c>
    </row>
    <row r="648" spans="1:16" x14ac:dyDescent="0.35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>
        <v>100</v>
      </c>
      <c r="J648">
        <v>4.8</v>
      </c>
      <c r="K648" t="s">
        <v>82</v>
      </c>
      <c r="L648" s="1">
        <v>0.72</v>
      </c>
      <c r="M648" t="s">
        <v>22</v>
      </c>
      <c r="N648" t="s">
        <v>65</v>
      </c>
      <c r="O648">
        <v>12</v>
      </c>
      <c r="P648">
        <v>10</v>
      </c>
    </row>
    <row r="649" spans="1:16" x14ac:dyDescent="0.35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2">
        <v>100</v>
      </c>
      <c r="J649">
        <v>4.3</v>
      </c>
      <c r="K649" t="s">
        <v>37</v>
      </c>
      <c r="L649" s="1">
        <v>0.93</v>
      </c>
      <c r="M649" t="s">
        <v>51</v>
      </c>
      <c r="N649" t="s">
        <v>23</v>
      </c>
      <c r="O649">
        <v>8</v>
      </c>
      <c r="P649">
        <v>5</v>
      </c>
    </row>
    <row r="650" spans="1:16" x14ac:dyDescent="0.35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t="s">
        <v>51</v>
      </c>
      <c r="N650" t="s">
        <v>65</v>
      </c>
      <c r="O650">
        <v>10</v>
      </c>
      <c r="P650">
        <v>9</v>
      </c>
    </row>
    <row r="651" spans="1:16" x14ac:dyDescent="0.35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2">
        <v>40</v>
      </c>
      <c r="K651" t="s">
        <v>37</v>
      </c>
      <c r="L651">
        <v>60</v>
      </c>
      <c r="M651" t="s">
        <v>71</v>
      </c>
      <c r="N651" t="s">
        <v>31</v>
      </c>
      <c r="O651">
        <v>12</v>
      </c>
      <c r="P651">
        <v>5</v>
      </c>
    </row>
    <row r="652" spans="1:16" x14ac:dyDescent="0.35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51</v>
      </c>
      <c r="N652" t="s">
        <v>31</v>
      </c>
      <c r="O652">
        <v>15</v>
      </c>
      <c r="P652">
        <v>3</v>
      </c>
    </row>
    <row r="653" spans="1:16" x14ac:dyDescent="0.35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t="s">
        <v>106</v>
      </c>
      <c r="K653" t="b">
        <v>0</v>
      </c>
      <c r="M653" t="s">
        <v>76</v>
      </c>
      <c r="N653" t="s">
        <v>65</v>
      </c>
      <c r="O653">
        <v>1</v>
      </c>
      <c r="P653">
        <v>3</v>
      </c>
    </row>
    <row r="654" spans="1:16" x14ac:dyDescent="0.35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2">
        <v>40</v>
      </c>
      <c r="J655">
        <v>2.2999999999999998</v>
      </c>
      <c r="K655" t="s">
        <v>75</v>
      </c>
      <c r="L655">
        <v>73</v>
      </c>
      <c r="M655" t="s">
        <v>76</v>
      </c>
      <c r="N655" t="s">
        <v>65</v>
      </c>
      <c r="O655">
        <v>1</v>
      </c>
      <c r="P655">
        <v>1</v>
      </c>
    </row>
    <row r="656" spans="1:16" x14ac:dyDescent="0.35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>
        <v>75</v>
      </c>
      <c r="K656" t="s">
        <v>37</v>
      </c>
      <c r="L656" s="1">
        <v>0.96</v>
      </c>
      <c r="M656" t="s">
        <v>51</v>
      </c>
      <c r="N656" t="s">
        <v>31</v>
      </c>
      <c r="O656">
        <v>11</v>
      </c>
      <c r="P656">
        <v>5</v>
      </c>
    </row>
    <row r="657" spans="1:16" x14ac:dyDescent="0.35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71</v>
      </c>
      <c r="N657" t="s">
        <v>38</v>
      </c>
      <c r="O657">
        <v>8</v>
      </c>
      <c r="P657">
        <v>8</v>
      </c>
    </row>
    <row r="658" spans="1:16" x14ac:dyDescent="0.35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58</v>
      </c>
      <c r="J659">
        <v>2.2000000000000002</v>
      </c>
      <c r="K659" t="s">
        <v>82</v>
      </c>
      <c r="L659" s="1">
        <v>0.85</v>
      </c>
      <c r="M659" t="s">
        <v>51</v>
      </c>
      <c r="N659" t="s">
        <v>38</v>
      </c>
      <c r="O659">
        <v>5</v>
      </c>
      <c r="P659">
        <v>1</v>
      </c>
    </row>
    <row r="660" spans="1:16" x14ac:dyDescent="0.35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51</v>
      </c>
      <c r="N660" t="s">
        <v>23</v>
      </c>
      <c r="O660">
        <v>6</v>
      </c>
      <c r="P660">
        <v>3</v>
      </c>
    </row>
    <row r="661" spans="1:16" x14ac:dyDescent="0.35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71</v>
      </c>
      <c r="N661" t="s">
        <v>23</v>
      </c>
      <c r="O661">
        <v>16</v>
      </c>
      <c r="P661">
        <v>5</v>
      </c>
    </row>
    <row r="662" spans="1:16" x14ac:dyDescent="0.35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71</v>
      </c>
      <c r="N662" t="s">
        <v>38</v>
      </c>
      <c r="O662">
        <v>9</v>
      </c>
      <c r="P662">
        <v>10</v>
      </c>
    </row>
    <row r="663" spans="1:16" x14ac:dyDescent="0.35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>
        <v>100</v>
      </c>
      <c r="J663">
        <v>4</v>
      </c>
      <c r="K663">
        <v>1</v>
      </c>
      <c r="M663" t="s">
        <v>76</v>
      </c>
      <c r="N663" t="s">
        <v>23</v>
      </c>
      <c r="O663">
        <v>10</v>
      </c>
      <c r="P663">
        <v>11</v>
      </c>
    </row>
    <row r="664" spans="1:16" x14ac:dyDescent="0.35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t="s">
        <v>106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65</v>
      </c>
      <c r="O665">
        <v>18</v>
      </c>
      <c r="P665">
        <v>8</v>
      </c>
    </row>
    <row r="666" spans="1:16" x14ac:dyDescent="0.35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71</v>
      </c>
      <c r="N666" t="s">
        <v>65</v>
      </c>
      <c r="O666">
        <v>4</v>
      </c>
      <c r="P666">
        <v>2</v>
      </c>
    </row>
    <row r="667" spans="1:16" x14ac:dyDescent="0.35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t="s">
        <v>106</v>
      </c>
      <c r="J667">
        <v>3.6</v>
      </c>
      <c r="K667">
        <v>1</v>
      </c>
      <c r="L667" s="1">
        <v>0.81</v>
      </c>
      <c r="M667" t="s">
        <v>76</v>
      </c>
      <c r="N667" t="s">
        <v>65</v>
      </c>
      <c r="O667">
        <v>9</v>
      </c>
      <c r="P667">
        <v>7</v>
      </c>
    </row>
    <row r="668" spans="1:16" x14ac:dyDescent="0.35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t="s">
        <v>71</v>
      </c>
      <c r="N669" t="s">
        <v>23</v>
      </c>
      <c r="O669">
        <v>15</v>
      </c>
      <c r="P669">
        <v>5</v>
      </c>
    </row>
    <row r="670" spans="1:16" x14ac:dyDescent="0.35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>
        <v>100</v>
      </c>
      <c r="J670">
        <v>1.4</v>
      </c>
      <c r="K670" t="s">
        <v>75</v>
      </c>
      <c r="L670">
        <v>62</v>
      </c>
      <c r="M670" t="s">
        <v>51</v>
      </c>
      <c r="N670" t="s">
        <v>31</v>
      </c>
      <c r="O670">
        <v>14</v>
      </c>
      <c r="P670">
        <v>5</v>
      </c>
    </row>
    <row r="671" spans="1:16" x14ac:dyDescent="0.35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t="s">
        <v>117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t="s">
        <v>76</v>
      </c>
      <c r="N672" t="s">
        <v>38</v>
      </c>
      <c r="O672">
        <v>12</v>
      </c>
      <c r="P672">
        <v>11</v>
      </c>
    </row>
    <row r="673" spans="1:16" x14ac:dyDescent="0.35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76</v>
      </c>
      <c r="N673" t="s">
        <v>31</v>
      </c>
      <c r="O673">
        <v>5</v>
      </c>
      <c r="P673">
        <v>4</v>
      </c>
    </row>
    <row r="674" spans="1:16" x14ac:dyDescent="0.35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76</v>
      </c>
      <c r="N674" t="s">
        <v>31</v>
      </c>
      <c r="O674">
        <v>4</v>
      </c>
      <c r="P674">
        <v>1</v>
      </c>
    </row>
    <row r="675" spans="1:16" x14ac:dyDescent="0.35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>
        <v>50</v>
      </c>
      <c r="J675">
        <v>2.7</v>
      </c>
      <c r="K675" t="s">
        <v>166</v>
      </c>
      <c r="L675">
        <v>96</v>
      </c>
      <c r="M675" t="s">
        <v>51</v>
      </c>
      <c r="N675" t="s">
        <v>31</v>
      </c>
      <c r="O675">
        <v>4</v>
      </c>
      <c r="P675">
        <v>1</v>
      </c>
    </row>
    <row r="676" spans="1:16" x14ac:dyDescent="0.35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>
        <v>30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51</v>
      </c>
      <c r="N678" t="s">
        <v>31</v>
      </c>
      <c r="O678">
        <v>19</v>
      </c>
      <c r="P678">
        <v>3</v>
      </c>
    </row>
    <row r="679" spans="1:16" x14ac:dyDescent="0.35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65</v>
      </c>
      <c r="O679">
        <v>15</v>
      </c>
      <c r="P679">
        <v>11</v>
      </c>
    </row>
    <row r="680" spans="1:16" x14ac:dyDescent="0.35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t="s">
        <v>51</v>
      </c>
      <c r="N680" t="s">
        <v>38</v>
      </c>
      <c r="O680">
        <v>13</v>
      </c>
      <c r="P680">
        <v>4</v>
      </c>
    </row>
    <row r="681" spans="1:16" x14ac:dyDescent="0.35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2">
        <v>20</v>
      </c>
      <c r="K681">
        <v>1</v>
      </c>
      <c r="L681" s="1">
        <v>0.99</v>
      </c>
      <c r="M681" t="s">
        <v>51</v>
      </c>
      <c r="N681" t="s">
        <v>23</v>
      </c>
      <c r="O681">
        <v>3</v>
      </c>
      <c r="P681">
        <v>2</v>
      </c>
    </row>
    <row r="682" spans="1:16" x14ac:dyDescent="0.35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>
        <v>75</v>
      </c>
      <c r="J682">
        <v>3.8</v>
      </c>
      <c r="K682" t="s">
        <v>82</v>
      </c>
      <c r="L682" s="1">
        <v>0.93</v>
      </c>
      <c r="M682" t="s">
        <v>51</v>
      </c>
      <c r="N682" t="s">
        <v>31</v>
      </c>
      <c r="O682">
        <v>13</v>
      </c>
      <c r="P682">
        <v>5</v>
      </c>
    </row>
    <row r="683" spans="1:16" x14ac:dyDescent="0.35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>
        <v>100</v>
      </c>
      <c r="J683">
        <v>4.8</v>
      </c>
      <c r="K683" t="s">
        <v>82</v>
      </c>
      <c r="L683" s="1">
        <v>0.75</v>
      </c>
      <c r="M683" t="s">
        <v>76</v>
      </c>
      <c r="N683" t="s">
        <v>23</v>
      </c>
      <c r="O683">
        <v>1</v>
      </c>
      <c r="P683">
        <v>1</v>
      </c>
    </row>
    <row r="684" spans="1:16" x14ac:dyDescent="0.35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t="s">
        <v>117</v>
      </c>
      <c r="J685">
        <v>0</v>
      </c>
      <c r="K685" t="s">
        <v>166</v>
      </c>
      <c r="L685" s="1">
        <v>0.97</v>
      </c>
      <c r="M685" t="s">
        <v>51</v>
      </c>
      <c r="N685" t="s">
        <v>65</v>
      </c>
      <c r="O685">
        <v>9</v>
      </c>
      <c r="P685">
        <v>8</v>
      </c>
    </row>
    <row r="686" spans="1:16" x14ac:dyDescent="0.35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t="s">
        <v>61</v>
      </c>
      <c r="J687">
        <v>4</v>
      </c>
      <c r="L687" s="1">
        <v>0.69</v>
      </c>
      <c r="M687" t="s">
        <v>76</v>
      </c>
      <c r="N687" t="s">
        <v>31</v>
      </c>
      <c r="O687">
        <v>14</v>
      </c>
      <c r="P687">
        <v>9</v>
      </c>
    </row>
    <row r="688" spans="1:16" x14ac:dyDescent="0.35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51</v>
      </c>
      <c r="N688" t="s">
        <v>31</v>
      </c>
      <c r="O688">
        <v>11</v>
      </c>
      <c r="P688">
        <v>5</v>
      </c>
    </row>
    <row r="689" spans="1:16" x14ac:dyDescent="0.35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t="s">
        <v>117</v>
      </c>
      <c r="J689">
        <v>4.4000000000000004</v>
      </c>
      <c r="K689" t="b">
        <v>1</v>
      </c>
      <c r="L689" s="1">
        <v>0.65</v>
      </c>
      <c r="M689" t="s">
        <v>71</v>
      </c>
      <c r="N689" t="s">
        <v>31</v>
      </c>
      <c r="O689">
        <v>1</v>
      </c>
      <c r="P689">
        <v>1</v>
      </c>
    </row>
    <row r="690" spans="1:16" x14ac:dyDescent="0.35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t="s">
        <v>76</v>
      </c>
      <c r="N690" t="s">
        <v>31</v>
      </c>
      <c r="O690">
        <v>1</v>
      </c>
      <c r="P690">
        <v>1</v>
      </c>
    </row>
    <row r="691" spans="1:16" x14ac:dyDescent="0.35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>
        <v>100</v>
      </c>
      <c r="J691">
        <v>4.8</v>
      </c>
      <c r="K691" t="s">
        <v>37</v>
      </c>
      <c r="M691" t="s">
        <v>71</v>
      </c>
      <c r="N691" t="s">
        <v>38</v>
      </c>
      <c r="O691">
        <v>10</v>
      </c>
      <c r="P691">
        <v>8</v>
      </c>
    </row>
    <row r="692" spans="1:16" x14ac:dyDescent="0.35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t="s">
        <v>117</v>
      </c>
      <c r="J692">
        <v>2</v>
      </c>
      <c r="K692" t="s">
        <v>166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t="s">
        <v>106</v>
      </c>
      <c r="K693">
        <v>1</v>
      </c>
      <c r="L693" s="1">
        <v>0.8</v>
      </c>
      <c r="M693" t="s">
        <v>22</v>
      </c>
      <c r="N693" t="s">
        <v>65</v>
      </c>
      <c r="O693">
        <v>11</v>
      </c>
      <c r="P693">
        <v>3</v>
      </c>
    </row>
    <row r="694" spans="1:16" x14ac:dyDescent="0.35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>
        <v>50</v>
      </c>
      <c r="J694">
        <v>1.4</v>
      </c>
      <c r="K694" t="s">
        <v>166</v>
      </c>
      <c r="L694" s="1">
        <v>0.8</v>
      </c>
      <c r="M694" t="s">
        <v>76</v>
      </c>
      <c r="N694" t="s">
        <v>38</v>
      </c>
      <c r="O694">
        <v>5</v>
      </c>
      <c r="P694">
        <v>2</v>
      </c>
    </row>
    <row r="695" spans="1:16" x14ac:dyDescent="0.35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71</v>
      </c>
      <c r="N696" t="s">
        <v>65</v>
      </c>
      <c r="O696">
        <v>18</v>
      </c>
      <c r="P696">
        <v>9</v>
      </c>
    </row>
    <row r="697" spans="1:16" x14ac:dyDescent="0.35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t="s">
        <v>61</v>
      </c>
      <c r="J697">
        <v>0</v>
      </c>
      <c r="K697">
        <v>0</v>
      </c>
      <c r="L697" s="1">
        <v>0.96</v>
      </c>
      <c r="M697" t="s">
        <v>51</v>
      </c>
      <c r="N697" t="s">
        <v>65</v>
      </c>
      <c r="O697">
        <v>2</v>
      </c>
      <c r="P697">
        <v>2</v>
      </c>
    </row>
    <row r="698" spans="1:16" x14ac:dyDescent="0.35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51</v>
      </c>
      <c r="N698" t="s">
        <v>65</v>
      </c>
      <c r="O698">
        <v>3</v>
      </c>
      <c r="P698">
        <v>3</v>
      </c>
    </row>
    <row r="699" spans="1:16" x14ac:dyDescent="0.35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t="s">
        <v>51</v>
      </c>
      <c r="N699" t="s">
        <v>31</v>
      </c>
      <c r="O699">
        <v>5</v>
      </c>
      <c r="P699">
        <v>2</v>
      </c>
    </row>
    <row r="700" spans="1:16" x14ac:dyDescent="0.35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>
        <v>100</v>
      </c>
      <c r="K700" t="s">
        <v>37</v>
      </c>
      <c r="L700" s="1">
        <v>0.72</v>
      </c>
      <c r="M700" t="s">
        <v>76</v>
      </c>
      <c r="N700" t="s">
        <v>23</v>
      </c>
      <c r="O700">
        <v>13</v>
      </c>
      <c r="P700">
        <v>10</v>
      </c>
    </row>
    <row r="701" spans="1:16" x14ac:dyDescent="0.35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t="s">
        <v>106</v>
      </c>
      <c r="J701">
        <v>4.4000000000000004</v>
      </c>
      <c r="K701" t="s">
        <v>82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>
        <v>100</v>
      </c>
      <c r="J702">
        <v>4.4000000000000004</v>
      </c>
      <c r="K702" t="s">
        <v>166</v>
      </c>
      <c r="L702" s="1">
        <v>0.7</v>
      </c>
      <c r="M702" t="s">
        <v>71</v>
      </c>
      <c r="N702" t="s">
        <v>38</v>
      </c>
      <c r="O702">
        <v>17</v>
      </c>
      <c r="P702">
        <v>16</v>
      </c>
    </row>
    <row r="703" spans="1:16" x14ac:dyDescent="0.35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>
        <v>50</v>
      </c>
      <c r="J703">
        <v>0</v>
      </c>
      <c r="K703" t="s">
        <v>166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t="s">
        <v>106</v>
      </c>
      <c r="J706">
        <v>2</v>
      </c>
      <c r="K706" t="s">
        <v>166</v>
      </c>
      <c r="L706" s="1">
        <v>0.92</v>
      </c>
      <c r="M706" t="s">
        <v>51</v>
      </c>
      <c r="N706" t="s">
        <v>65</v>
      </c>
      <c r="O706">
        <v>2</v>
      </c>
      <c r="P706">
        <v>2</v>
      </c>
    </row>
    <row r="707" spans="1:16" x14ac:dyDescent="0.35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>
        <v>50</v>
      </c>
      <c r="J707">
        <v>3.3</v>
      </c>
      <c r="K707" t="s">
        <v>75</v>
      </c>
      <c r="L707" s="1">
        <v>0.76</v>
      </c>
      <c r="M707" t="s">
        <v>71</v>
      </c>
      <c r="N707" t="s">
        <v>31</v>
      </c>
      <c r="O707">
        <v>9</v>
      </c>
      <c r="P707">
        <v>4</v>
      </c>
    </row>
    <row r="708" spans="1:16" x14ac:dyDescent="0.35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2">
        <v>50</v>
      </c>
      <c r="J708">
        <v>0</v>
      </c>
      <c r="K708" t="s">
        <v>82</v>
      </c>
      <c r="L708" s="1">
        <v>0.97</v>
      </c>
      <c r="M708" t="s">
        <v>71</v>
      </c>
      <c r="N708" t="s">
        <v>65</v>
      </c>
      <c r="O708">
        <v>1</v>
      </c>
      <c r="P708">
        <v>1</v>
      </c>
    </row>
    <row r="709" spans="1:16" x14ac:dyDescent="0.35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t="s">
        <v>30</v>
      </c>
      <c r="J709">
        <v>2.2999999999999998</v>
      </c>
      <c r="K709" t="s">
        <v>82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51</v>
      </c>
      <c r="N710" t="s">
        <v>65</v>
      </c>
      <c r="O710">
        <v>12</v>
      </c>
      <c r="P710">
        <v>8</v>
      </c>
    </row>
    <row r="711" spans="1:16" x14ac:dyDescent="0.35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>
        <v>30</v>
      </c>
      <c r="J711">
        <v>2.6</v>
      </c>
      <c r="K711" t="s">
        <v>82</v>
      </c>
      <c r="M711" t="s">
        <v>51</v>
      </c>
      <c r="N711" t="s">
        <v>31</v>
      </c>
      <c r="O711">
        <v>6</v>
      </c>
      <c r="P711">
        <v>10</v>
      </c>
    </row>
    <row r="712" spans="1:16" x14ac:dyDescent="0.35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>
        <v>40</v>
      </c>
      <c r="J712">
        <v>3.3</v>
      </c>
      <c r="K712" t="s">
        <v>75</v>
      </c>
      <c r="L712" s="1">
        <v>0.82</v>
      </c>
      <c r="M712" t="s">
        <v>71</v>
      </c>
      <c r="N712" t="s">
        <v>38</v>
      </c>
      <c r="O712">
        <v>12</v>
      </c>
      <c r="P712">
        <v>3</v>
      </c>
    </row>
    <row r="713" spans="1:16" x14ac:dyDescent="0.35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>
        <v>75</v>
      </c>
      <c r="J713">
        <v>3.6</v>
      </c>
      <c r="K713" t="s">
        <v>75</v>
      </c>
      <c r="L713" s="1">
        <v>0.78</v>
      </c>
      <c r="M713" t="s">
        <v>51</v>
      </c>
      <c r="N713" t="s">
        <v>23</v>
      </c>
      <c r="O713">
        <v>11</v>
      </c>
      <c r="P713">
        <v>13</v>
      </c>
    </row>
    <row r="714" spans="1:16" x14ac:dyDescent="0.35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>
        <v>100</v>
      </c>
      <c r="J714">
        <v>3.7</v>
      </c>
      <c r="K714">
        <v>0</v>
      </c>
      <c r="M714" t="s">
        <v>51</v>
      </c>
      <c r="N714" t="s">
        <v>65</v>
      </c>
      <c r="O714">
        <v>13</v>
      </c>
      <c r="P714">
        <v>8</v>
      </c>
    </row>
    <row r="715" spans="1:16" x14ac:dyDescent="0.35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2">
        <v>20</v>
      </c>
      <c r="J715">
        <v>3.4</v>
      </c>
      <c r="K715" t="s">
        <v>166</v>
      </c>
      <c r="M715" t="s">
        <v>51</v>
      </c>
      <c r="N715" t="s">
        <v>38</v>
      </c>
      <c r="O715">
        <v>11</v>
      </c>
      <c r="P715">
        <v>15</v>
      </c>
    </row>
    <row r="716" spans="1:16" x14ac:dyDescent="0.35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>
        <v>50</v>
      </c>
      <c r="J716">
        <v>4</v>
      </c>
      <c r="K716" t="s">
        <v>82</v>
      </c>
      <c r="L716" s="1">
        <v>0.72</v>
      </c>
      <c r="M716" t="s">
        <v>76</v>
      </c>
      <c r="N716" t="s">
        <v>65</v>
      </c>
      <c r="O716">
        <v>14</v>
      </c>
      <c r="P716">
        <v>2</v>
      </c>
    </row>
    <row r="717" spans="1:16" x14ac:dyDescent="0.35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5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>
        <v>75</v>
      </c>
      <c r="J718">
        <v>4.3</v>
      </c>
      <c r="K718">
        <v>1</v>
      </c>
      <c r="M718" t="s">
        <v>71</v>
      </c>
      <c r="N718" t="s">
        <v>38</v>
      </c>
      <c r="O718">
        <v>1</v>
      </c>
      <c r="P718">
        <v>1</v>
      </c>
    </row>
    <row r="719" spans="1:16" x14ac:dyDescent="0.35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>
        <v>75</v>
      </c>
      <c r="J719">
        <v>4</v>
      </c>
      <c r="K719">
        <v>1</v>
      </c>
      <c r="M719" t="s">
        <v>71</v>
      </c>
      <c r="N719" t="s">
        <v>65</v>
      </c>
      <c r="O719">
        <v>3</v>
      </c>
      <c r="P719">
        <v>2</v>
      </c>
    </row>
    <row r="720" spans="1:16" x14ac:dyDescent="0.35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2">
        <v>50</v>
      </c>
      <c r="J720">
        <v>1.6</v>
      </c>
      <c r="K720" t="s">
        <v>75</v>
      </c>
      <c r="M720" t="s">
        <v>76</v>
      </c>
      <c r="N720" t="s">
        <v>23</v>
      </c>
      <c r="O720">
        <v>15</v>
      </c>
      <c r="P720">
        <v>5</v>
      </c>
    </row>
    <row r="721" spans="1:16" x14ac:dyDescent="0.35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>
        <v>100</v>
      </c>
      <c r="J721">
        <v>0</v>
      </c>
      <c r="K721" t="s">
        <v>82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>
        <v>75</v>
      </c>
      <c r="K722" t="s">
        <v>166</v>
      </c>
      <c r="L722" s="1">
        <v>0.94</v>
      </c>
      <c r="M722" t="s">
        <v>71</v>
      </c>
      <c r="N722" t="s">
        <v>38</v>
      </c>
      <c r="O722">
        <v>10</v>
      </c>
      <c r="P722">
        <v>6</v>
      </c>
    </row>
    <row r="723" spans="1:16" x14ac:dyDescent="0.35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t="s">
        <v>319</v>
      </c>
      <c r="J723">
        <v>4.9000000000000004</v>
      </c>
      <c r="K723" t="s">
        <v>82</v>
      </c>
      <c r="M723" t="s">
        <v>51</v>
      </c>
      <c r="N723" t="s">
        <v>38</v>
      </c>
      <c r="O723">
        <v>11</v>
      </c>
      <c r="P723">
        <v>4</v>
      </c>
    </row>
    <row r="724" spans="1:16" x14ac:dyDescent="0.35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>
        <v>20</v>
      </c>
      <c r="J724">
        <v>2.8</v>
      </c>
      <c r="K724" t="b">
        <v>1</v>
      </c>
      <c r="M724" t="s">
        <v>71</v>
      </c>
      <c r="N724" t="s">
        <v>23</v>
      </c>
      <c r="O724">
        <v>9</v>
      </c>
      <c r="P724">
        <v>2</v>
      </c>
    </row>
    <row r="725" spans="1:16" x14ac:dyDescent="0.35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t="s">
        <v>117</v>
      </c>
      <c r="J725">
        <v>3.6</v>
      </c>
      <c r="K725" t="s">
        <v>82</v>
      </c>
      <c r="L725" s="1">
        <v>0.77</v>
      </c>
      <c r="M725" t="s">
        <v>51</v>
      </c>
      <c r="N725" t="s">
        <v>23</v>
      </c>
      <c r="O725">
        <v>7</v>
      </c>
      <c r="P725">
        <v>3</v>
      </c>
    </row>
    <row r="726" spans="1:16" x14ac:dyDescent="0.35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2">
        <v>50</v>
      </c>
      <c r="K726" t="s">
        <v>75</v>
      </c>
      <c r="L726">
        <v>84</v>
      </c>
      <c r="M726" t="s">
        <v>76</v>
      </c>
      <c r="N726" t="s">
        <v>31</v>
      </c>
      <c r="O726">
        <v>7</v>
      </c>
      <c r="P726">
        <v>6</v>
      </c>
    </row>
    <row r="727" spans="1:16" x14ac:dyDescent="0.35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51</v>
      </c>
      <c r="N727" t="s">
        <v>65</v>
      </c>
      <c r="O727">
        <v>15</v>
      </c>
      <c r="P727">
        <v>6</v>
      </c>
    </row>
    <row r="728" spans="1:16" x14ac:dyDescent="0.35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t="s">
        <v>61</v>
      </c>
      <c r="J728">
        <v>3.1</v>
      </c>
      <c r="K728">
        <v>0</v>
      </c>
      <c r="L728" s="1">
        <v>0.69</v>
      </c>
      <c r="M728" t="s">
        <v>71</v>
      </c>
      <c r="N728" t="s">
        <v>23</v>
      </c>
      <c r="O728">
        <v>18</v>
      </c>
      <c r="P728">
        <v>12</v>
      </c>
    </row>
    <row r="729" spans="1:16" x14ac:dyDescent="0.35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>
        <v>40</v>
      </c>
      <c r="J729">
        <v>4.9000000000000004</v>
      </c>
      <c r="K729" t="s">
        <v>82</v>
      </c>
      <c r="L729" s="1">
        <v>0.68</v>
      </c>
      <c r="M729" t="s">
        <v>71</v>
      </c>
      <c r="N729" t="s">
        <v>65</v>
      </c>
      <c r="O729">
        <v>5</v>
      </c>
      <c r="P729">
        <v>1</v>
      </c>
    </row>
    <row r="730" spans="1:16" x14ac:dyDescent="0.35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71</v>
      </c>
      <c r="N730" t="s">
        <v>31</v>
      </c>
      <c r="O730">
        <v>10</v>
      </c>
      <c r="P730">
        <v>9</v>
      </c>
    </row>
    <row r="731" spans="1:16" x14ac:dyDescent="0.35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76</v>
      </c>
      <c r="N731" t="s">
        <v>65</v>
      </c>
      <c r="O731">
        <v>2</v>
      </c>
      <c r="P731">
        <v>2</v>
      </c>
    </row>
    <row r="732" spans="1:16" x14ac:dyDescent="0.35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t="s">
        <v>319</v>
      </c>
      <c r="K732" t="b">
        <v>0</v>
      </c>
      <c r="L732" s="1">
        <v>1</v>
      </c>
      <c r="M732" t="s">
        <v>76</v>
      </c>
      <c r="N732" t="s">
        <v>23</v>
      </c>
      <c r="O732">
        <v>15</v>
      </c>
      <c r="P732">
        <v>14</v>
      </c>
    </row>
    <row r="733" spans="1:16" x14ac:dyDescent="0.35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65</v>
      </c>
      <c r="O733">
        <v>1</v>
      </c>
      <c r="P733">
        <v>1</v>
      </c>
    </row>
    <row r="734" spans="1:16" x14ac:dyDescent="0.35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71</v>
      </c>
      <c r="N734" t="s">
        <v>23</v>
      </c>
      <c r="O734">
        <v>12</v>
      </c>
      <c r="P734">
        <v>13</v>
      </c>
    </row>
    <row r="735" spans="1:16" x14ac:dyDescent="0.35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51</v>
      </c>
      <c r="N735" t="s">
        <v>65</v>
      </c>
      <c r="O735">
        <v>4</v>
      </c>
      <c r="P735">
        <v>1</v>
      </c>
    </row>
    <row r="736" spans="1:16" x14ac:dyDescent="0.35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t="s">
        <v>30</v>
      </c>
      <c r="K736">
        <v>0</v>
      </c>
      <c r="L736" s="1">
        <v>0.84</v>
      </c>
      <c r="M736" t="s">
        <v>76</v>
      </c>
      <c r="N736" t="s">
        <v>23</v>
      </c>
      <c r="O736">
        <v>1</v>
      </c>
      <c r="P736">
        <v>2</v>
      </c>
    </row>
    <row r="737" spans="1:16" x14ac:dyDescent="0.35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71</v>
      </c>
      <c r="N737" t="s">
        <v>23</v>
      </c>
      <c r="O737">
        <v>10</v>
      </c>
      <c r="P737">
        <v>2</v>
      </c>
    </row>
    <row r="738" spans="1:16" x14ac:dyDescent="0.35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>
        <v>75</v>
      </c>
      <c r="J738">
        <v>0</v>
      </c>
      <c r="K738" t="s">
        <v>166</v>
      </c>
      <c r="L738" s="1">
        <v>0.92</v>
      </c>
      <c r="M738" t="s">
        <v>71</v>
      </c>
      <c r="N738" t="s">
        <v>65</v>
      </c>
      <c r="O738">
        <v>1</v>
      </c>
      <c r="P738">
        <v>2</v>
      </c>
    </row>
    <row r="739" spans="1:16" x14ac:dyDescent="0.35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t="s">
        <v>30</v>
      </c>
      <c r="K739" t="s">
        <v>166</v>
      </c>
      <c r="L739" s="1">
        <v>0.69</v>
      </c>
      <c r="M739" t="s">
        <v>76</v>
      </c>
      <c r="N739" t="s">
        <v>31</v>
      </c>
      <c r="O739">
        <v>8</v>
      </c>
      <c r="P739">
        <v>9</v>
      </c>
    </row>
    <row r="740" spans="1:16" x14ac:dyDescent="0.35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76</v>
      </c>
      <c r="N741" t="s">
        <v>31</v>
      </c>
      <c r="O741">
        <v>2</v>
      </c>
      <c r="P741">
        <v>1</v>
      </c>
    </row>
    <row r="742" spans="1:16" x14ac:dyDescent="0.35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76</v>
      </c>
      <c r="N742" t="s">
        <v>65</v>
      </c>
      <c r="O742">
        <v>15</v>
      </c>
      <c r="P742">
        <v>10</v>
      </c>
    </row>
    <row r="743" spans="1:16" x14ac:dyDescent="0.35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2">
        <v>30</v>
      </c>
      <c r="J743">
        <v>2.6</v>
      </c>
      <c r="K743" t="s">
        <v>166</v>
      </c>
      <c r="L743" s="1">
        <v>0.76</v>
      </c>
      <c r="M743" t="s">
        <v>51</v>
      </c>
      <c r="N743" t="s">
        <v>31</v>
      </c>
      <c r="O743">
        <v>2</v>
      </c>
      <c r="P743">
        <v>3</v>
      </c>
    </row>
    <row r="744" spans="1:16" x14ac:dyDescent="0.35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t="s">
        <v>58</v>
      </c>
      <c r="J744">
        <v>4.0999999999999996</v>
      </c>
      <c r="K744" t="s">
        <v>166</v>
      </c>
      <c r="M744" t="s">
        <v>51</v>
      </c>
      <c r="N744" t="s">
        <v>23</v>
      </c>
      <c r="O744">
        <v>16</v>
      </c>
      <c r="P744">
        <v>7</v>
      </c>
    </row>
    <row r="745" spans="1:16" x14ac:dyDescent="0.35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t="s">
        <v>106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t="s">
        <v>106</v>
      </c>
      <c r="J746">
        <v>2.9</v>
      </c>
      <c r="K746" t="s">
        <v>75</v>
      </c>
      <c r="L746" s="1">
        <v>0.82</v>
      </c>
      <c r="M746" t="s">
        <v>71</v>
      </c>
      <c r="N746" t="s">
        <v>65</v>
      </c>
      <c r="O746">
        <v>10</v>
      </c>
      <c r="P746">
        <v>13</v>
      </c>
    </row>
    <row r="747" spans="1:16" x14ac:dyDescent="0.35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>
        <v>100</v>
      </c>
      <c r="J747">
        <v>0</v>
      </c>
      <c r="K747" t="s">
        <v>82</v>
      </c>
      <c r="L747">
        <v>87</v>
      </c>
      <c r="M747" t="s">
        <v>76</v>
      </c>
      <c r="N747" t="s">
        <v>65</v>
      </c>
      <c r="O747">
        <v>4</v>
      </c>
      <c r="P747">
        <v>4</v>
      </c>
    </row>
    <row r="748" spans="1:16" x14ac:dyDescent="0.35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2">
        <v>40</v>
      </c>
      <c r="J748">
        <v>4.9000000000000004</v>
      </c>
      <c r="K748" t="s">
        <v>37</v>
      </c>
      <c r="L748" s="1">
        <v>1</v>
      </c>
      <c r="M748" t="s">
        <v>22</v>
      </c>
      <c r="N748" t="s">
        <v>65</v>
      </c>
      <c r="O748">
        <v>17</v>
      </c>
      <c r="P748">
        <v>14</v>
      </c>
    </row>
    <row r="749" spans="1:16" x14ac:dyDescent="0.35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t="s">
        <v>106</v>
      </c>
      <c r="J749">
        <v>3</v>
      </c>
      <c r="K749" t="s">
        <v>37</v>
      </c>
      <c r="L749">
        <v>71</v>
      </c>
      <c r="M749" t="s">
        <v>51</v>
      </c>
      <c r="N749" t="s">
        <v>38</v>
      </c>
      <c r="O749">
        <v>6</v>
      </c>
      <c r="P749">
        <v>13</v>
      </c>
    </row>
    <row r="750" spans="1:16" x14ac:dyDescent="0.35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76</v>
      </c>
      <c r="N750" t="s">
        <v>23</v>
      </c>
      <c r="O750">
        <v>1</v>
      </c>
      <c r="P750">
        <v>1</v>
      </c>
    </row>
    <row r="751" spans="1:16" x14ac:dyDescent="0.35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t="s">
        <v>117</v>
      </c>
      <c r="J751">
        <v>4.5999999999999996</v>
      </c>
      <c r="K751">
        <v>0</v>
      </c>
      <c r="L751">
        <v>70</v>
      </c>
      <c r="M751" t="s">
        <v>71</v>
      </c>
      <c r="N751" t="s">
        <v>65</v>
      </c>
      <c r="O751">
        <v>4</v>
      </c>
      <c r="P751">
        <v>2</v>
      </c>
    </row>
    <row r="752" spans="1:16" x14ac:dyDescent="0.35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51</v>
      </c>
      <c r="N752" t="s">
        <v>31</v>
      </c>
      <c r="O752">
        <v>17</v>
      </c>
      <c r="P752">
        <v>6</v>
      </c>
    </row>
    <row r="753" spans="1:16" x14ac:dyDescent="0.35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>
        <v>40</v>
      </c>
      <c r="K753" t="s">
        <v>82</v>
      </c>
      <c r="L753" s="1">
        <v>0.74</v>
      </c>
      <c r="M753" t="s">
        <v>51</v>
      </c>
      <c r="N753" t="s">
        <v>65</v>
      </c>
      <c r="O753">
        <v>1</v>
      </c>
      <c r="P753">
        <v>2</v>
      </c>
    </row>
    <row r="754" spans="1:16" x14ac:dyDescent="0.35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75</v>
      </c>
      <c r="L754" s="1">
        <v>0.86</v>
      </c>
      <c r="M754" t="s">
        <v>51</v>
      </c>
      <c r="N754" t="s">
        <v>65</v>
      </c>
      <c r="O754">
        <v>4</v>
      </c>
      <c r="P754">
        <v>2</v>
      </c>
    </row>
    <row r="755" spans="1:16" x14ac:dyDescent="0.35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65</v>
      </c>
      <c r="O755">
        <v>11</v>
      </c>
      <c r="P755">
        <v>2</v>
      </c>
    </row>
    <row r="756" spans="1:16" x14ac:dyDescent="0.35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t="s">
        <v>71</v>
      </c>
      <c r="N756" t="s">
        <v>65</v>
      </c>
      <c r="O756">
        <v>10</v>
      </c>
      <c r="P756">
        <v>7</v>
      </c>
    </row>
    <row r="757" spans="1:16" x14ac:dyDescent="0.35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t="s">
        <v>58</v>
      </c>
      <c r="J757">
        <v>2.9</v>
      </c>
      <c r="K757">
        <v>0</v>
      </c>
      <c r="L757" s="1">
        <v>0.78</v>
      </c>
      <c r="M757" t="s">
        <v>76</v>
      </c>
      <c r="N757" t="s">
        <v>23</v>
      </c>
      <c r="O757">
        <v>15</v>
      </c>
      <c r="P757">
        <v>1</v>
      </c>
    </row>
    <row r="758" spans="1:16" x14ac:dyDescent="0.35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t="s">
        <v>58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t="s">
        <v>61</v>
      </c>
      <c r="J761">
        <v>1.7</v>
      </c>
      <c r="K761" t="s">
        <v>75</v>
      </c>
      <c r="L761" s="1">
        <v>0.61</v>
      </c>
      <c r="M761" t="s">
        <v>51</v>
      </c>
      <c r="N761" t="s">
        <v>65</v>
      </c>
      <c r="O761">
        <v>3</v>
      </c>
      <c r="P761">
        <v>3</v>
      </c>
    </row>
    <row r="762" spans="1:16" x14ac:dyDescent="0.35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71</v>
      </c>
      <c r="N762" t="s">
        <v>38</v>
      </c>
      <c r="O762">
        <v>13</v>
      </c>
      <c r="P762">
        <v>2</v>
      </c>
    </row>
    <row r="763" spans="1:16" x14ac:dyDescent="0.35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>
        <v>50</v>
      </c>
      <c r="K763" t="s">
        <v>82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76</v>
      </c>
      <c r="N764" t="s">
        <v>38</v>
      </c>
      <c r="O764">
        <v>7</v>
      </c>
      <c r="P764">
        <v>6</v>
      </c>
    </row>
    <row r="765" spans="1:16" x14ac:dyDescent="0.35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71</v>
      </c>
      <c r="N765" t="s">
        <v>23</v>
      </c>
      <c r="O765">
        <v>8</v>
      </c>
      <c r="P765">
        <v>8</v>
      </c>
    </row>
    <row r="766" spans="1:16" x14ac:dyDescent="0.35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76</v>
      </c>
      <c r="N766" t="s">
        <v>65</v>
      </c>
      <c r="O766">
        <v>3</v>
      </c>
      <c r="P766">
        <v>3</v>
      </c>
    </row>
    <row r="767" spans="1:16" x14ac:dyDescent="0.35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71</v>
      </c>
      <c r="N767" t="s">
        <v>23</v>
      </c>
      <c r="O767">
        <v>12</v>
      </c>
      <c r="P767">
        <v>13</v>
      </c>
    </row>
    <row r="768" spans="1:16" x14ac:dyDescent="0.35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t="s">
        <v>117</v>
      </c>
      <c r="J768">
        <v>3.3</v>
      </c>
      <c r="K768">
        <v>1</v>
      </c>
      <c r="L768" s="1">
        <v>0.61</v>
      </c>
      <c r="M768" t="s">
        <v>76</v>
      </c>
      <c r="N768" t="s">
        <v>65</v>
      </c>
      <c r="O768">
        <v>3</v>
      </c>
      <c r="P768">
        <v>5</v>
      </c>
    </row>
    <row r="769" spans="1:16" x14ac:dyDescent="0.35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117</v>
      </c>
      <c r="J769">
        <v>4.9000000000000004</v>
      </c>
      <c r="K769">
        <v>0</v>
      </c>
      <c r="L769" s="1">
        <v>0.77</v>
      </c>
      <c r="M769" t="s">
        <v>51</v>
      </c>
      <c r="N769" t="s">
        <v>23</v>
      </c>
      <c r="O769">
        <v>19</v>
      </c>
      <c r="P769">
        <v>8</v>
      </c>
    </row>
    <row r="770" spans="1:16" x14ac:dyDescent="0.35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65</v>
      </c>
      <c r="O770">
        <v>14</v>
      </c>
      <c r="P770">
        <v>9</v>
      </c>
    </row>
    <row r="771" spans="1:16" x14ac:dyDescent="0.35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>
        <v>50</v>
      </c>
      <c r="K771" t="s">
        <v>37</v>
      </c>
      <c r="L771" s="1">
        <v>0.84</v>
      </c>
      <c r="M771" t="s">
        <v>76</v>
      </c>
      <c r="N771" t="s">
        <v>65</v>
      </c>
      <c r="O771">
        <v>5</v>
      </c>
      <c r="P771">
        <v>1</v>
      </c>
    </row>
    <row r="772" spans="1:16" x14ac:dyDescent="0.35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t="s">
        <v>30</v>
      </c>
      <c r="K772" t="s">
        <v>82</v>
      </c>
      <c r="L772" s="1">
        <v>0.89</v>
      </c>
      <c r="M772" t="s">
        <v>71</v>
      </c>
      <c r="N772" t="s">
        <v>31</v>
      </c>
      <c r="O772">
        <v>13</v>
      </c>
      <c r="P772">
        <v>2</v>
      </c>
    </row>
    <row r="773" spans="1:16" x14ac:dyDescent="0.35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t="s">
        <v>117</v>
      </c>
      <c r="J773">
        <v>4</v>
      </c>
      <c r="L773" s="1">
        <v>0.9</v>
      </c>
      <c r="M773" t="s">
        <v>22</v>
      </c>
      <c r="N773" t="s">
        <v>65</v>
      </c>
      <c r="O773">
        <v>14</v>
      </c>
      <c r="P773">
        <v>3</v>
      </c>
    </row>
    <row r="774" spans="1:16" x14ac:dyDescent="0.35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71</v>
      </c>
      <c r="N775" t="s">
        <v>65</v>
      </c>
      <c r="O775">
        <v>11</v>
      </c>
      <c r="P775">
        <v>3</v>
      </c>
    </row>
    <row r="776" spans="1:16" x14ac:dyDescent="0.35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t="s">
        <v>117</v>
      </c>
      <c r="J776">
        <v>1.6</v>
      </c>
      <c r="K776" t="s">
        <v>82</v>
      </c>
      <c r="L776" s="1">
        <v>0.72</v>
      </c>
      <c r="M776" t="s">
        <v>76</v>
      </c>
      <c r="N776" t="s">
        <v>38</v>
      </c>
      <c r="O776">
        <v>1</v>
      </c>
      <c r="P776">
        <v>1</v>
      </c>
    </row>
    <row r="777" spans="1:16" x14ac:dyDescent="0.35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>
        <v>50</v>
      </c>
      <c r="J777">
        <v>1.3</v>
      </c>
      <c r="K777" t="s">
        <v>75</v>
      </c>
      <c r="L777" s="1">
        <v>0.87</v>
      </c>
      <c r="M777" t="s">
        <v>51</v>
      </c>
      <c r="N777" t="s">
        <v>65</v>
      </c>
      <c r="O777">
        <v>13</v>
      </c>
      <c r="P777">
        <v>6</v>
      </c>
    </row>
    <row r="778" spans="1:16" x14ac:dyDescent="0.35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51</v>
      </c>
      <c r="N778" t="s">
        <v>38</v>
      </c>
      <c r="O778">
        <v>5</v>
      </c>
      <c r="P778">
        <v>1</v>
      </c>
    </row>
    <row r="779" spans="1:16" x14ac:dyDescent="0.35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76</v>
      </c>
      <c r="N779" t="s">
        <v>38</v>
      </c>
      <c r="O779">
        <v>14</v>
      </c>
      <c r="P779">
        <v>11</v>
      </c>
    </row>
    <row r="780" spans="1:16" x14ac:dyDescent="0.35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t="s">
        <v>61</v>
      </c>
      <c r="J780">
        <v>4.3</v>
      </c>
      <c r="K780" t="s">
        <v>82</v>
      </c>
      <c r="L780" s="1">
        <v>0.76</v>
      </c>
      <c r="M780" t="s">
        <v>22</v>
      </c>
      <c r="N780" t="s">
        <v>65</v>
      </c>
      <c r="O780">
        <v>6</v>
      </c>
      <c r="P780">
        <v>3</v>
      </c>
    </row>
    <row r="781" spans="1:16" x14ac:dyDescent="0.35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>
        <v>100</v>
      </c>
      <c r="J782">
        <v>3.7</v>
      </c>
      <c r="K782" t="s">
        <v>82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5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>
        <v>50</v>
      </c>
      <c r="J783">
        <v>1.4</v>
      </c>
      <c r="K783" t="s">
        <v>75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2">
        <v>100</v>
      </c>
      <c r="J784">
        <v>4.5</v>
      </c>
      <c r="K784" t="s">
        <v>82</v>
      </c>
      <c r="L784">
        <v>83</v>
      </c>
      <c r="M784" t="s">
        <v>76</v>
      </c>
      <c r="N784" t="s">
        <v>65</v>
      </c>
      <c r="O784">
        <v>15</v>
      </c>
      <c r="P784">
        <v>1</v>
      </c>
    </row>
    <row r="785" spans="1:16" x14ac:dyDescent="0.35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t="s">
        <v>61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71</v>
      </c>
      <c r="N786" t="s">
        <v>65</v>
      </c>
      <c r="O786">
        <v>1</v>
      </c>
      <c r="P786">
        <v>1</v>
      </c>
    </row>
    <row r="787" spans="1:16" x14ac:dyDescent="0.35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51</v>
      </c>
      <c r="N788" t="s">
        <v>65</v>
      </c>
      <c r="O788">
        <v>2</v>
      </c>
      <c r="P788">
        <v>2</v>
      </c>
    </row>
    <row r="789" spans="1:16" x14ac:dyDescent="0.35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65</v>
      </c>
      <c r="O789">
        <v>2</v>
      </c>
      <c r="P789">
        <v>1</v>
      </c>
    </row>
    <row r="790" spans="1:16" x14ac:dyDescent="0.35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76</v>
      </c>
      <c r="N790" t="s">
        <v>38</v>
      </c>
      <c r="O790">
        <v>6</v>
      </c>
      <c r="P790">
        <v>7</v>
      </c>
    </row>
    <row r="791" spans="1:16" x14ac:dyDescent="0.35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t="s">
        <v>51</v>
      </c>
      <c r="N791" t="s">
        <v>31</v>
      </c>
      <c r="O791">
        <v>12</v>
      </c>
      <c r="P791">
        <v>2</v>
      </c>
    </row>
    <row r="792" spans="1:16" x14ac:dyDescent="0.35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76</v>
      </c>
      <c r="N792" t="s">
        <v>23</v>
      </c>
      <c r="O792">
        <v>5</v>
      </c>
      <c r="P792">
        <v>2</v>
      </c>
    </row>
    <row r="793" spans="1:16" x14ac:dyDescent="0.35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t="s">
        <v>76</v>
      </c>
      <c r="N793" t="s">
        <v>23</v>
      </c>
      <c r="O793">
        <v>6</v>
      </c>
      <c r="P793">
        <v>9</v>
      </c>
    </row>
    <row r="794" spans="1:16" x14ac:dyDescent="0.35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t="s">
        <v>51</v>
      </c>
      <c r="N794" t="s">
        <v>38</v>
      </c>
      <c r="O794">
        <v>3</v>
      </c>
      <c r="P794">
        <v>1</v>
      </c>
    </row>
    <row r="795" spans="1:16" x14ac:dyDescent="0.35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76</v>
      </c>
      <c r="N795" t="s">
        <v>65</v>
      </c>
      <c r="O795">
        <v>1</v>
      </c>
      <c r="P795">
        <v>1</v>
      </c>
    </row>
    <row r="796" spans="1:16" x14ac:dyDescent="0.35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t="s">
        <v>61</v>
      </c>
      <c r="J796">
        <v>3.1</v>
      </c>
      <c r="K796">
        <v>1</v>
      </c>
      <c r="M796" t="s">
        <v>76</v>
      </c>
      <c r="N796" t="s">
        <v>38</v>
      </c>
      <c r="O796">
        <v>14</v>
      </c>
      <c r="P796">
        <v>12</v>
      </c>
    </row>
    <row r="797" spans="1:16" x14ac:dyDescent="0.35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t="s">
        <v>71</v>
      </c>
      <c r="N798" t="s">
        <v>38</v>
      </c>
      <c r="O798">
        <v>2</v>
      </c>
      <c r="P798">
        <v>1</v>
      </c>
    </row>
    <row r="799" spans="1:16" x14ac:dyDescent="0.35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76</v>
      </c>
      <c r="N799" t="s">
        <v>65</v>
      </c>
      <c r="O799">
        <v>6</v>
      </c>
      <c r="P799">
        <v>2</v>
      </c>
    </row>
    <row r="800" spans="1:16" x14ac:dyDescent="0.35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76</v>
      </c>
      <c r="N800" t="s">
        <v>31</v>
      </c>
      <c r="O800">
        <v>3</v>
      </c>
      <c r="P800">
        <v>1</v>
      </c>
    </row>
    <row r="801" spans="1:16" x14ac:dyDescent="0.35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>
        <v>20</v>
      </c>
      <c r="J801">
        <v>3.5</v>
      </c>
      <c r="L801" s="1">
        <v>0.98</v>
      </c>
      <c r="M801" t="s">
        <v>76</v>
      </c>
      <c r="N801" t="s">
        <v>38</v>
      </c>
      <c r="O801">
        <v>9</v>
      </c>
      <c r="P801">
        <v>12</v>
      </c>
    </row>
    <row r="802" spans="1:16" x14ac:dyDescent="0.35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65</v>
      </c>
      <c r="O802">
        <v>15</v>
      </c>
      <c r="P802">
        <v>2</v>
      </c>
    </row>
    <row r="803" spans="1:16" x14ac:dyDescent="0.35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t="s">
        <v>319</v>
      </c>
      <c r="J803">
        <v>1.2</v>
      </c>
      <c r="K803" t="s">
        <v>82</v>
      </c>
      <c r="L803">
        <v>69</v>
      </c>
      <c r="M803" t="s">
        <v>71</v>
      </c>
      <c r="N803" t="s">
        <v>31</v>
      </c>
      <c r="O803">
        <v>14</v>
      </c>
      <c r="P803">
        <v>1</v>
      </c>
    </row>
    <row r="804" spans="1:16" x14ac:dyDescent="0.35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t="s">
        <v>117</v>
      </c>
      <c r="K804" t="b">
        <v>0</v>
      </c>
      <c r="L804">
        <v>90</v>
      </c>
      <c r="M804" t="s">
        <v>51</v>
      </c>
      <c r="N804" t="s">
        <v>38</v>
      </c>
      <c r="O804">
        <v>11</v>
      </c>
      <c r="P804">
        <v>3</v>
      </c>
    </row>
    <row r="805" spans="1:16" x14ac:dyDescent="0.35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t="s">
        <v>319</v>
      </c>
      <c r="K807" t="s">
        <v>82</v>
      </c>
      <c r="L807" s="1">
        <v>0.84</v>
      </c>
      <c r="M807" t="s">
        <v>71</v>
      </c>
      <c r="N807" t="s">
        <v>38</v>
      </c>
      <c r="O807">
        <v>5</v>
      </c>
      <c r="P807">
        <v>1</v>
      </c>
    </row>
    <row r="808" spans="1:16" x14ac:dyDescent="0.35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2">
        <v>20</v>
      </c>
      <c r="J808">
        <v>5</v>
      </c>
      <c r="K808" t="s">
        <v>75</v>
      </c>
      <c r="L808" s="1">
        <v>0.75</v>
      </c>
      <c r="M808" t="s">
        <v>71</v>
      </c>
      <c r="N808" t="s">
        <v>31</v>
      </c>
      <c r="O808">
        <v>4</v>
      </c>
      <c r="P808">
        <v>2</v>
      </c>
    </row>
    <row r="809" spans="1:16" x14ac:dyDescent="0.35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51</v>
      </c>
      <c r="N810" t="s">
        <v>31</v>
      </c>
      <c r="O810">
        <v>3</v>
      </c>
      <c r="P810">
        <v>3</v>
      </c>
    </row>
    <row r="811" spans="1:16" x14ac:dyDescent="0.35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>
        <v>20</v>
      </c>
      <c r="J812">
        <v>2.6</v>
      </c>
      <c r="K812" t="s">
        <v>166</v>
      </c>
      <c r="L812" s="1">
        <v>0.64</v>
      </c>
      <c r="M812" t="s">
        <v>71</v>
      </c>
      <c r="N812" t="s">
        <v>31</v>
      </c>
      <c r="O812">
        <v>3</v>
      </c>
      <c r="P812">
        <v>2</v>
      </c>
    </row>
    <row r="813" spans="1:16" x14ac:dyDescent="0.35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51</v>
      </c>
      <c r="N813" t="s">
        <v>31</v>
      </c>
      <c r="O813">
        <v>10</v>
      </c>
      <c r="P813">
        <v>6</v>
      </c>
    </row>
    <row r="814" spans="1:16" x14ac:dyDescent="0.35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71</v>
      </c>
      <c r="N814" t="s">
        <v>38</v>
      </c>
      <c r="O814">
        <v>12</v>
      </c>
      <c r="P814">
        <v>2</v>
      </c>
    </row>
    <row r="815" spans="1:16" x14ac:dyDescent="0.35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166</v>
      </c>
      <c r="L815" s="1">
        <v>0.79</v>
      </c>
      <c r="M815" t="s">
        <v>51</v>
      </c>
      <c r="N815" t="s">
        <v>23</v>
      </c>
      <c r="O815">
        <v>2</v>
      </c>
      <c r="P815">
        <v>1</v>
      </c>
    </row>
    <row r="816" spans="1:16" x14ac:dyDescent="0.35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76</v>
      </c>
      <c r="N816" t="s">
        <v>65</v>
      </c>
      <c r="O816">
        <v>2</v>
      </c>
      <c r="P816">
        <v>2</v>
      </c>
    </row>
    <row r="817" spans="1:16" x14ac:dyDescent="0.35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>
        <v>40</v>
      </c>
      <c r="K817" t="s">
        <v>37</v>
      </c>
      <c r="L817" s="1">
        <v>0.66</v>
      </c>
      <c r="M817" t="s">
        <v>71</v>
      </c>
      <c r="N817" t="s">
        <v>31</v>
      </c>
      <c r="O817">
        <v>11</v>
      </c>
      <c r="P817">
        <v>13</v>
      </c>
    </row>
    <row r="818" spans="1:16" x14ac:dyDescent="0.35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t="s">
        <v>58</v>
      </c>
      <c r="J818">
        <v>4.5999999999999996</v>
      </c>
      <c r="K818" t="s">
        <v>166</v>
      </c>
      <c r="L818" s="1">
        <v>0.97</v>
      </c>
      <c r="M818" t="s">
        <v>71</v>
      </c>
      <c r="N818" t="s">
        <v>65</v>
      </c>
      <c r="O818">
        <v>19</v>
      </c>
      <c r="P818">
        <v>4</v>
      </c>
    </row>
    <row r="819" spans="1:16" x14ac:dyDescent="0.35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5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t="s">
        <v>319</v>
      </c>
      <c r="K820" t="s">
        <v>166</v>
      </c>
      <c r="M820" t="s">
        <v>71</v>
      </c>
      <c r="N820" t="s">
        <v>31</v>
      </c>
      <c r="O820">
        <v>5</v>
      </c>
      <c r="P820">
        <v>1</v>
      </c>
    </row>
    <row r="821" spans="1:16" x14ac:dyDescent="0.35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71</v>
      </c>
      <c r="N821" t="s">
        <v>23</v>
      </c>
      <c r="O821">
        <v>14</v>
      </c>
      <c r="P821">
        <v>1</v>
      </c>
    </row>
    <row r="822" spans="1:16" x14ac:dyDescent="0.35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76</v>
      </c>
      <c r="N822" t="s">
        <v>65</v>
      </c>
      <c r="O822">
        <v>15</v>
      </c>
      <c r="P822">
        <v>11</v>
      </c>
    </row>
    <row r="823" spans="1:16" x14ac:dyDescent="0.35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71</v>
      </c>
      <c r="N823" t="s">
        <v>31</v>
      </c>
      <c r="O823">
        <v>13</v>
      </c>
      <c r="P823">
        <v>5</v>
      </c>
    </row>
    <row r="824" spans="1:16" x14ac:dyDescent="0.35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>
        <v>20</v>
      </c>
      <c r="L824" s="1">
        <v>0.99</v>
      </c>
      <c r="M824" t="s">
        <v>76</v>
      </c>
      <c r="N824" t="s">
        <v>38</v>
      </c>
      <c r="O824">
        <v>14</v>
      </c>
      <c r="P824">
        <v>6</v>
      </c>
    </row>
    <row r="825" spans="1:16" x14ac:dyDescent="0.35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76</v>
      </c>
      <c r="N825" t="s">
        <v>23</v>
      </c>
      <c r="O825">
        <v>3</v>
      </c>
      <c r="P825">
        <v>2</v>
      </c>
    </row>
    <row r="826" spans="1:16" x14ac:dyDescent="0.35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t="s">
        <v>106</v>
      </c>
      <c r="K826" t="s">
        <v>75</v>
      </c>
      <c r="L826" s="1">
        <v>0.81</v>
      </c>
      <c r="M826" t="s">
        <v>76</v>
      </c>
      <c r="N826" t="s">
        <v>65</v>
      </c>
      <c r="O826">
        <v>5</v>
      </c>
      <c r="P826">
        <v>1</v>
      </c>
    </row>
    <row r="827" spans="1:16" x14ac:dyDescent="0.35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2">
        <v>40</v>
      </c>
      <c r="J827">
        <v>2.1</v>
      </c>
      <c r="K827" t="s">
        <v>37</v>
      </c>
      <c r="L827" s="1">
        <v>0.64</v>
      </c>
      <c r="M827" t="s">
        <v>76</v>
      </c>
      <c r="N827" t="s">
        <v>65</v>
      </c>
      <c r="O827">
        <v>1</v>
      </c>
      <c r="P827">
        <v>1</v>
      </c>
    </row>
    <row r="828" spans="1:16" x14ac:dyDescent="0.35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51</v>
      </c>
      <c r="N828" t="s">
        <v>31</v>
      </c>
      <c r="O828">
        <v>5</v>
      </c>
      <c r="P828">
        <v>1</v>
      </c>
    </row>
    <row r="829" spans="1:16" x14ac:dyDescent="0.35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51</v>
      </c>
      <c r="N830" t="s">
        <v>23</v>
      </c>
      <c r="O830">
        <v>12</v>
      </c>
      <c r="P830">
        <v>10</v>
      </c>
    </row>
    <row r="831" spans="1:16" x14ac:dyDescent="0.35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>
        <v>30</v>
      </c>
      <c r="J831">
        <v>1.8</v>
      </c>
      <c r="M831" t="s">
        <v>71</v>
      </c>
      <c r="N831" t="s">
        <v>23</v>
      </c>
      <c r="O831">
        <v>15</v>
      </c>
      <c r="P831">
        <v>9</v>
      </c>
    </row>
    <row r="832" spans="1:16" x14ac:dyDescent="0.35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51</v>
      </c>
      <c r="N832" t="s">
        <v>23</v>
      </c>
      <c r="O832">
        <v>3</v>
      </c>
      <c r="P832">
        <v>2</v>
      </c>
    </row>
    <row r="833" spans="1:16" x14ac:dyDescent="0.35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>
        <v>20</v>
      </c>
      <c r="J833">
        <v>1.6</v>
      </c>
      <c r="K833" t="s">
        <v>82</v>
      </c>
      <c r="L833" s="1">
        <v>0.7</v>
      </c>
      <c r="M833" t="s">
        <v>51</v>
      </c>
      <c r="N833" t="s">
        <v>38</v>
      </c>
      <c r="O833">
        <v>1</v>
      </c>
      <c r="P833">
        <v>2</v>
      </c>
    </row>
    <row r="834" spans="1:16" x14ac:dyDescent="0.35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2">
        <v>30</v>
      </c>
      <c r="J834">
        <v>3.1</v>
      </c>
      <c r="L834" s="1">
        <v>0.9</v>
      </c>
      <c r="M834" t="s">
        <v>71</v>
      </c>
      <c r="N834" t="s">
        <v>23</v>
      </c>
      <c r="O834">
        <v>1</v>
      </c>
      <c r="P834">
        <v>1</v>
      </c>
    </row>
    <row r="835" spans="1:16" x14ac:dyDescent="0.35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71</v>
      </c>
      <c r="N835" t="s">
        <v>65</v>
      </c>
      <c r="O835">
        <v>2</v>
      </c>
      <c r="P835">
        <v>2</v>
      </c>
    </row>
    <row r="836" spans="1:16" x14ac:dyDescent="0.35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71</v>
      </c>
      <c r="N836" t="s">
        <v>65</v>
      </c>
      <c r="O836">
        <v>7</v>
      </c>
      <c r="P836">
        <v>9</v>
      </c>
    </row>
    <row r="837" spans="1:16" x14ac:dyDescent="0.35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t="s">
        <v>58</v>
      </c>
      <c r="J837">
        <v>2.2999999999999998</v>
      </c>
      <c r="K837">
        <v>0</v>
      </c>
      <c r="M837" t="s">
        <v>51</v>
      </c>
      <c r="N837" t="s">
        <v>38</v>
      </c>
      <c r="O837">
        <v>8</v>
      </c>
      <c r="P837">
        <v>4</v>
      </c>
    </row>
    <row r="838" spans="1:16" x14ac:dyDescent="0.35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t="s">
        <v>61</v>
      </c>
      <c r="K838" t="s">
        <v>37</v>
      </c>
      <c r="L838" s="1">
        <v>0.8</v>
      </c>
      <c r="M838" t="s">
        <v>51</v>
      </c>
      <c r="N838" t="s">
        <v>65</v>
      </c>
      <c r="O838">
        <v>7</v>
      </c>
      <c r="P838">
        <v>8</v>
      </c>
    </row>
    <row r="839" spans="1:16" x14ac:dyDescent="0.35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71</v>
      </c>
      <c r="N839" t="s">
        <v>65</v>
      </c>
      <c r="O839">
        <v>19</v>
      </c>
      <c r="P839">
        <v>8</v>
      </c>
    </row>
    <row r="840" spans="1:16" x14ac:dyDescent="0.35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t="s">
        <v>117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>
        <v>30</v>
      </c>
      <c r="J841">
        <v>3.3</v>
      </c>
      <c r="K841" t="s">
        <v>82</v>
      </c>
      <c r="L841" s="1">
        <v>0.71</v>
      </c>
      <c r="M841" t="s">
        <v>22</v>
      </c>
      <c r="N841" t="s">
        <v>65</v>
      </c>
      <c r="O841">
        <v>10</v>
      </c>
      <c r="P841">
        <v>10</v>
      </c>
    </row>
    <row r="842" spans="1:16" x14ac:dyDescent="0.35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76</v>
      </c>
      <c r="N842" t="s">
        <v>38</v>
      </c>
      <c r="O842">
        <v>9</v>
      </c>
      <c r="P842">
        <v>4</v>
      </c>
    </row>
    <row r="843" spans="1:16" x14ac:dyDescent="0.35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t="s">
        <v>117</v>
      </c>
      <c r="J843">
        <v>4.5999999999999996</v>
      </c>
      <c r="K843">
        <v>1</v>
      </c>
      <c r="L843" s="1">
        <v>0.93</v>
      </c>
      <c r="M843" t="s">
        <v>71</v>
      </c>
      <c r="N843" t="s">
        <v>23</v>
      </c>
      <c r="O843">
        <v>10</v>
      </c>
      <c r="P843">
        <v>12</v>
      </c>
    </row>
    <row r="844" spans="1:16" x14ac:dyDescent="0.35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t="s">
        <v>117</v>
      </c>
      <c r="K844">
        <v>0</v>
      </c>
      <c r="M844" t="s">
        <v>76</v>
      </c>
      <c r="N844" t="s">
        <v>31</v>
      </c>
      <c r="O844">
        <v>3</v>
      </c>
      <c r="P844">
        <v>1</v>
      </c>
    </row>
    <row r="845" spans="1:16" x14ac:dyDescent="0.35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76</v>
      </c>
      <c r="N846" t="s">
        <v>38</v>
      </c>
      <c r="O846">
        <v>17</v>
      </c>
      <c r="P846">
        <v>12</v>
      </c>
    </row>
    <row r="847" spans="1:16" x14ac:dyDescent="0.35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t="s">
        <v>319</v>
      </c>
      <c r="J847">
        <v>0</v>
      </c>
      <c r="K847" t="s">
        <v>75</v>
      </c>
      <c r="L847" s="1">
        <v>0.96</v>
      </c>
      <c r="M847" t="s">
        <v>71</v>
      </c>
      <c r="N847" t="s">
        <v>23</v>
      </c>
      <c r="O847">
        <v>7</v>
      </c>
      <c r="P847">
        <v>8</v>
      </c>
    </row>
    <row r="848" spans="1:16" x14ac:dyDescent="0.35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>
        <v>40</v>
      </c>
      <c r="J848">
        <v>0</v>
      </c>
      <c r="K848" t="s">
        <v>166</v>
      </c>
      <c r="M848" t="s">
        <v>71</v>
      </c>
      <c r="N848" t="s">
        <v>23</v>
      </c>
      <c r="O848">
        <v>10</v>
      </c>
      <c r="P848">
        <v>13</v>
      </c>
    </row>
    <row r="849" spans="1:16" x14ac:dyDescent="0.35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>
        <v>75</v>
      </c>
      <c r="J849">
        <v>3.4</v>
      </c>
      <c r="K849" t="s">
        <v>82</v>
      </c>
      <c r="L849" s="1">
        <v>0.65</v>
      </c>
      <c r="M849" t="s">
        <v>71</v>
      </c>
      <c r="N849" t="s">
        <v>38</v>
      </c>
      <c r="O849">
        <v>4</v>
      </c>
      <c r="P849">
        <v>1</v>
      </c>
    </row>
    <row r="850" spans="1:16" x14ac:dyDescent="0.35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t="s">
        <v>319</v>
      </c>
      <c r="J850">
        <v>1.3</v>
      </c>
      <c r="K850" t="s">
        <v>37</v>
      </c>
      <c r="M850" t="s">
        <v>51</v>
      </c>
      <c r="N850" t="s">
        <v>23</v>
      </c>
      <c r="O850">
        <v>1</v>
      </c>
      <c r="P850">
        <v>4</v>
      </c>
    </row>
    <row r="851" spans="1:16" x14ac:dyDescent="0.35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76</v>
      </c>
      <c r="N851" t="s">
        <v>38</v>
      </c>
      <c r="O851">
        <v>18</v>
      </c>
      <c r="P851">
        <v>4</v>
      </c>
    </row>
    <row r="852" spans="1:16" x14ac:dyDescent="0.35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>
        <v>50</v>
      </c>
      <c r="J852">
        <v>1.4</v>
      </c>
      <c r="K852" t="s">
        <v>82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5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2">
        <v>100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2">
        <v>30</v>
      </c>
      <c r="K854" t="s">
        <v>166</v>
      </c>
      <c r="L854" s="1">
        <v>0.97</v>
      </c>
      <c r="M854" t="s">
        <v>22</v>
      </c>
      <c r="N854" t="s">
        <v>65</v>
      </c>
      <c r="O854">
        <v>11</v>
      </c>
      <c r="P854">
        <v>6</v>
      </c>
    </row>
    <row r="855" spans="1:16" x14ac:dyDescent="0.35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2">
        <v>100</v>
      </c>
      <c r="J855">
        <v>4.3</v>
      </c>
      <c r="K855">
        <v>0</v>
      </c>
      <c r="M855" t="s">
        <v>51</v>
      </c>
      <c r="N855" t="s">
        <v>65</v>
      </c>
      <c r="O855">
        <v>4</v>
      </c>
      <c r="P855">
        <v>2</v>
      </c>
    </row>
    <row r="856" spans="1:16" x14ac:dyDescent="0.35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t="s">
        <v>58</v>
      </c>
      <c r="J856">
        <v>0</v>
      </c>
      <c r="K856" t="b">
        <v>1</v>
      </c>
      <c r="M856" t="s">
        <v>51</v>
      </c>
      <c r="N856" t="s">
        <v>23</v>
      </c>
      <c r="O856">
        <v>10</v>
      </c>
      <c r="P856">
        <v>5</v>
      </c>
    </row>
    <row r="857" spans="1:16" x14ac:dyDescent="0.35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t="s">
        <v>71</v>
      </c>
      <c r="N857" t="s">
        <v>23</v>
      </c>
      <c r="O857">
        <v>7</v>
      </c>
      <c r="P857">
        <v>2</v>
      </c>
    </row>
    <row r="858" spans="1:16" x14ac:dyDescent="0.35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t="s">
        <v>106</v>
      </c>
      <c r="J858">
        <v>2.9</v>
      </c>
      <c r="K858" t="s">
        <v>166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t="s">
        <v>61</v>
      </c>
      <c r="J859">
        <v>4.3</v>
      </c>
      <c r="K859">
        <v>0</v>
      </c>
      <c r="L859" s="1">
        <v>0.95</v>
      </c>
      <c r="M859" t="s">
        <v>51</v>
      </c>
      <c r="N859" t="s">
        <v>31</v>
      </c>
      <c r="O859">
        <v>14</v>
      </c>
      <c r="P859">
        <v>12</v>
      </c>
    </row>
    <row r="860" spans="1:16" x14ac:dyDescent="0.35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71</v>
      </c>
      <c r="N860" t="s">
        <v>31</v>
      </c>
      <c r="O860">
        <v>3</v>
      </c>
      <c r="P860">
        <v>1</v>
      </c>
    </row>
    <row r="861" spans="1:16" x14ac:dyDescent="0.35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2">
        <v>50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75</v>
      </c>
      <c r="L862" s="1">
        <v>0.63</v>
      </c>
      <c r="M862" t="s">
        <v>76</v>
      </c>
      <c r="N862" t="s">
        <v>31</v>
      </c>
      <c r="O862">
        <v>15</v>
      </c>
      <c r="P862">
        <v>9</v>
      </c>
    </row>
    <row r="863" spans="1:16" x14ac:dyDescent="0.35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>
        <v>20</v>
      </c>
      <c r="J863">
        <v>2.2000000000000002</v>
      </c>
      <c r="K863" t="b">
        <v>0</v>
      </c>
      <c r="L863" s="1">
        <v>0.6</v>
      </c>
      <c r="M863" t="s">
        <v>71</v>
      </c>
      <c r="N863" t="s">
        <v>31</v>
      </c>
      <c r="O863">
        <v>4</v>
      </c>
      <c r="P863">
        <v>1</v>
      </c>
    </row>
    <row r="864" spans="1:16" x14ac:dyDescent="0.35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>
        <v>50</v>
      </c>
      <c r="J864">
        <v>4.7</v>
      </c>
      <c r="K864" t="s">
        <v>75</v>
      </c>
      <c r="L864" s="1">
        <v>0.77</v>
      </c>
      <c r="M864" t="s">
        <v>51</v>
      </c>
      <c r="N864" t="s">
        <v>23</v>
      </c>
      <c r="O864">
        <v>9</v>
      </c>
      <c r="P864">
        <v>7</v>
      </c>
    </row>
    <row r="865" spans="1:16" x14ac:dyDescent="0.35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51</v>
      </c>
      <c r="N865" t="s">
        <v>31</v>
      </c>
      <c r="O865">
        <v>2</v>
      </c>
      <c r="P865">
        <v>1</v>
      </c>
    </row>
    <row r="866" spans="1:16" x14ac:dyDescent="0.35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>
        <v>20</v>
      </c>
      <c r="J866">
        <v>2.5</v>
      </c>
      <c r="K866" t="s">
        <v>75</v>
      </c>
      <c r="L866" s="1">
        <v>0.61</v>
      </c>
      <c r="M866" t="s">
        <v>71</v>
      </c>
      <c r="N866" t="s">
        <v>38</v>
      </c>
      <c r="O866">
        <v>16</v>
      </c>
      <c r="P866">
        <v>10</v>
      </c>
    </row>
    <row r="867" spans="1:16" x14ac:dyDescent="0.35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2">
        <v>50</v>
      </c>
      <c r="J867">
        <v>3.9</v>
      </c>
      <c r="K867" t="s">
        <v>75</v>
      </c>
      <c r="L867" s="1">
        <v>0.88</v>
      </c>
      <c r="M867" t="s">
        <v>71</v>
      </c>
      <c r="N867" t="s">
        <v>38</v>
      </c>
      <c r="O867">
        <v>1</v>
      </c>
      <c r="P867">
        <v>4</v>
      </c>
    </row>
    <row r="868" spans="1:16" x14ac:dyDescent="0.35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t="s">
        <v>30</v>
      </c>
      <c r="J868">
        <v>1.2</v>
      </c>
      <c r="K868">
        <v>1</v>
      </c>
      <c r="L868" s="1">
        <v>0.69</v>
      </c>
      <c r="M868" t="s">
        <v>51</v>
      </c>
      <c r="N868" t="s">
        <v>23</v>
      </c>
      <c r="O868">
        <v>5</v>
      </c>
      <c r="P868">
        <v>2</v>
      </c>
    </row>
    <row r="869" spans="1:16" x14ac:dyDescent="0.35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75</v>
      </c>
      <c r="M869" t="s">
        <v>76</v>
      </c>
      <c r="N869" t="s">
        <v>31</v>
      </c>
      <c r="O869">
        <v>2</v>
      </c>
      <c r="P869">
        <v>2</v>
      </c>
    </row>
    <row r="870" spans="1:16" x14ac:dyDescent="0.35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76</v>
      </c>
      <c r="N871" t="s">
        <v>38</v>
      </c>
      <c r="O871">
        <v>15</v>
      </c>
      <c r="P871">
        <v>12</v>
      </c>
    </row>
    <row r="872" spans="1:16" x14ac:dyDescent="0.35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2">
        <v>40</v>
      </c>
      <c r="J872">
        <v>1.7</v>
      </c>
      <c r="K872" t="s">
        <v>37</v>
      </c>
      <c r="L872" s="1">
        <v>0.71</v>
      </c>
      <c r="M872" t="s">
        <v>71</v>
      </c>
      <c r="N872" t="s">
        <v>31</v>
      </c>
      <c r="O872">
        <v>4</v>
      </c>
      <c r="P872">
        <v>4</v>
      </c>
    </row>
    <row r="873" spans="1:16" x14ac:dyDescent="0.35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76</v>
      </c>
      <c r="N873" t="s">
        <v>31</v>
      </c>
      <c r="O873">
        <v>18</v>
      </c>
      <c r="P873">
        <v>10</v>
      </c>
    </row>
    <row r="874" spans="1:16" x14ac:dyDescent="0.35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2">
        <v>75</v>
      </c>
      <c r="J874">
        <v>2.1</v>
      </c>
      <c r="K874" t="s">
        <v>75</v>
      </c>
      <c r="M874" t="s">
        <v>51</v>
      </c>
      <c r="N874" t="s">
        <v>31</v>
      </c>
      <c r="O874">
        <v>1</v>
      </c>
      <c r="P874">
        <v>1</v>
      </c>
    </row>
    <row r="875" spans="1:16" x14ac:dyDescent="0.35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>
        <v>75</v>
      </c>
      <c r="J875">
        <v>1.5</v>
      </c>
      <c r="L875" s="1">
        <v>0.73</v>
      </c>
      <c r="M875" t="s">
        <v>71</v>
      </c>
      <c r="N875" t="s">
        <v>65</v>
      </c>
      <c r="O875">
        <v>2</v>
      </c>
      <c r="P875">
        <v>1</v>
      </c>
    </row>
    <row r="876" spans="1:16" x14ac:dyDescent="0.35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t="s">
        <v>117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t="s">
        <v>51</v>
      </c>
      <c r="N877" t="s">
        <v>65</v>
      </c>
      <c r="O877">
        <v>3</v>
      </c>
      <c r="P877">
        <v>1</v>
      </c>
    </row>
    <row r="878" spans="1:16" x14ac:dyDescent="0.35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51</v>
      </c>
      <c r="N878" t="s">
        <v>23</v>
      </c>
      <c r="O878">
        <v>7</v>
      </c>
      <c r="P878">
        <v>8</v>
      </c>
    </row>
    <row r="879" spans="1:16" x14ac:dyDescent="0.35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82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5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>
        <v>20</v>
      </c>
      <c r="J881">
        <v>2.1</v>
      </c>
      <c r="K881" t="s">
        <v>166</v>
      </c>
      <c r="M881" t="s">
        <v>76</v>
      </c>
      <c r="N881" t="s">
        <v>23</v>
      </c>
      <c r="O881">
        <v>9</v>
      </c>
      <c r="P881">
        <v>8</v>
      </c>
    </row>
    <row r="882" spans="1:16" x14ac:dyDescent="0.35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>
        <v>50</v>
      </c>
      <c r="K882">
        <v>1</v>
      </c>
      <c r="M882" t="s">
        <v>71</v>
      </c>
      <c r="N882" t="s">
        <v>65</v>
      </c>
      <c r="O882">
        <v>14</v>
      </c>
      <c r="P882">
        <v>4</v>
      </c>
    </row>
    <row r="883" spans="1:16" x14ac:dyDescent="0.35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t="s">
        <v>30</v>
      </c>
      <c r="J883">
        <v>2.9</v>
      </c>
      <c r="K883" t="s">
        <v>82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t="s">
        <v>319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71</v>
      </c>
      <c r="N885" t="s">
        <v>23</v>
      </c>
      <c r="O885">
        <v>12</v>
      </c>
      <c r="P885">
        <v>13</v>
      </c>
    </row>
    <row r="886" spans="1:16" x14ac:dyDescent="0.35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2">
        <v>100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2">
        <v>50</v>
      </c>
      <c r="J887">
        <v>3.1</v>
      </c>
      <c r="K887" t="s">
        <v>166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t="s">
        <v>76</v>
      </c>
      <c r="N888" t="s">
        <v>31</v>
      </c>
      <c r="O888">
        <v>6</v>
      </c>
      <c r="P888">
        <v>13</v>
      </c>
    </row>
    <row r="889" spans="1:16" x14ac:dyDescent="0.35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51</v>
      </c>
      <c r="N889" t="s">
        <v>65</v>
      </c>
      <c r="O889">
        <v>3</v>
      </c>
      <c r="P889">
        <v>1</v>
      </c>
    </row>
    <row r="890" spans="1:16" x14ac:dyDescent="0.35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51</v>
      </c>
      <c r="N890" t="s">
        <v>65</v>
      </c>
      <c r="O890">
        <v>11</v>
      </c>
      <c r="P890">
        <v>12</v>
      </c>
    </row>
    <row r="891" spans="1:16" x14ac:dyDescent="0.35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2">
        <v>75</v>
      </c>
      <c r="J891">
        <v>2.4</v>
      </c>
      <c r="K891" t="s">
        <v>37</v>
      </c>
      <c r="M891" t="s">
        <v>51</v>
      </c>
      <c r="N891" t="s">
        <v>23</v>
      </c>
      <c r="O891">
        <v>3</v>
      </c>
      <c r="P891">
        <v>1</v>
      </c>
    </row>
    <row r="892" spans="1:16" x14ac:dyDescent="0.35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51</v>
      </c>
      <c r="N892" t="s">
        <v>38</v>
      </c>
      <c r="O892">
        <v>2</v>
      </c>
      <c r="P892">
        <v>1</v>
      </c>
    </row>
    <row r="893" spans="1:16" x14ac:dyDescent="0.35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t="s">
        <v>30</v>
      </c>
      <c r="J893">
        <v>2.5</v>
      </c>
      <c r="K893" t="s">
        <v>75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71</v>
      </c>
      <c r="N894" t="s">
        <v>65</v>
      </c>
      <c r="O894">
        <v>10</v>
      </c>
      <c r="P894">
        <v>12</v>
      </c>
    </row>
    <row r="895" spans="1:16" x14ac:dyDescent="0.35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71</v>
      </c>
      <c r="N895" t="s">
        <v>38</v>
      </c>
      <c r="O895">
        <v>11</v>
      </c>
      <c r="P895">
        <v>5</v>
      </c>
    </row>
    <row r="896" spans="1:16" x14ac:dyDescent="0.35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76</v>
      </c>
      <c r="N896" t="s">
        <v>65</v>
      </c>
      <c r="O896">
        <v>15</v>
      </c>
      <c r="P896">
        <v>8</v>
      </c>
    </row>
    <row r="897" spans="1:16" x14ac:dyDescent="0.35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76</v>
      </c>
      <c r="N897" t="s">
        <v>23</v>
      </c>
      <c r="O897">
        <v>12</v>
      </c>
      <c r="P897">
        <v>15</v>
      </c>
    </row>
    <row r="898" spans="1:16" x14ac:dyDescent="0.35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65</v>
      </c>
      <c r="O898">
        <v>15</v>
      </c>
      <c r="P898">
        <v>1</v>
      </c>
    </row>
    <row r="899" spans="1:16" x14ac:dyDescent="0.35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2">
        <v>40</v>
      </c>
      <c r="J899">
        <v>1.3</v>
      </c>
      <c r="K899">
        <v>0</v>
      </c>
      <c r="M899" t="s">
        <v>71</v>
      </c>
      <c r="N899" t="s">
        <v>65</v>
      </c>
      <c r="O899">
        <v>8</v>
      </c>
      <c r="P899">
        <v>5</v>
      </c>
    </row>
    <row r="900" spans="1:16" x14ac:dyDescent="0.35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>
        <v>50</v>
      </c>
      <c r="J900">
        <v>4.5999999999999996</v>
      </c>
      <c r="K900" t="s">
        <v>82</v>
      </c>
      <c r="M900" t="s">
        <v>71</v>
      </c>
      <c r="N900" t="s">
        <v>23</v>
      </c>
      <c r="O900">
        <v>5</v>
      </c>
      <c r="P900">
        <v>3</v>
      </c>
    </row>
    <row r="901" spans="1:16" x14ac:dyDescent="0.35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51</v>
      </c>
      <c r="N901" t="s">
        <v>38</v>
      </c>
      <c r="O901">
        <v>10</v>
      </c>
      <c r="P901">
        <v>7</v>
      </c>
    </row>
    <row r="902" spans="1:16" x14ac:dyDescent="0.35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166</v>
      </c>
      <c r="L902" s="1">
        <v>0.72</v>
      </c>
      <c r="M902" t="s">
        <v>22</v>
      </c>
      <c r="N902" t="s">
        <v>65</v>
      </c>
      <c r="O902">
        <v>14</v>
      </c>
      <c r="P902">
        <v>8</v>
      </c>
    </row>
    <row r="903" spans="1:16" x14ac:dyDescent="0.35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>
        <v>40</v>
      </c>
      <c r="J903">
        <v>4.4000000000000004</v>
      </c>
      <c r="K903" t="s">
        <v>75</v>
      </c>
      <c r="L903" s="1">
        <v>0.92</v>
      </c>
      <c r="M903" t="s">
        <v>22</v>
      </c>
      <c r="N903" t="s">
        <v>65</v>
      </c>
      <c r="O903">
        <v>5</v>
      </c>
      <c r="P903">
        <v>2</v>
      </c>
    </row>
    <row r="904" spans="1:16" x14ac:dyDescent="0.35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t="s">
        <v>319</v>
      </c>
      <c r="J904">
        <v>0</v>
      </c>
      <c r="K904" t="s">
        <v>37</v>
      </c>
      <c r="M904" t="s">
        <v>51</v>
      </c>
      <c r="N904" t="s">
        <v>23</v>
      </c>
      <c r="O904">
        <v>17</v>
      </c>
      <c r="P904">
        <v>8</v>
      </c>
    </row>
    <row r="905" spans="1:16" x14ac:dyDescent="0.35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t="s">
        <v>319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65</v>
      </c>
      <c r="O906">
        <v>5</v>
      </c>
      <c r="P906">
        <v>1</v>
      </c>
    </row>
    <row r="907" spans="1:16" x14ac:dyDescent="0.35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t="s">
        <v>76</v>
      </c>
      <c r="N907" t="s">
        <v>23</v>
      </c>
      <c r="O907">
        <v>3</v>
      </c>
      <c r="P907">
        <v>3</v>
      </c>
    </row>
    <row r="908" spans="1:16" x14ac:dyDescent="0.35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71</v>
      </c>
      <c r="N908" t="s">
        <v>65</v>
      </c>
      <c r="O908">
        <v>7</v>
      </c>
      <c r="P908">
        <v>7</v>
      </c>
    </row>
    <row r="909" spans="1:16" x14ac:dyDescent="0.35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t="s">
        <v>117</v>
      </c>
      <c r="J909">
        <v>3.1</v>
      </c>
      <c r="K909" t="s">
        <v>82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2">
        <v>75</v>
      </c>
      <c r="J910">
        <v>2.2999999999999998</v>
      </c>
      <c r="K910" t="s">
        <v>82</v>
      </c>
      <c r="L910" s="1">
        <v>0.8</v>
      </c>
      <c r="M910" t="s">
        <v>76</v>
      </c>
      <c r="N910" t="s">
        <v>23</v>
      </c>
      <c r="O910">
        <v>12</v>
      </c>
      <c r="P910">
        <v>9</v>
      </c>
    </row>
    <row r="911" spans="1:16" x14ac:dyDescent="0.35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>
        <v>100</v>
      </c>
      <c r="J911">
        <v>4</v>
      </c>
      <c r="K911" t="s">
        <v>166</v>
      </c>
      <c r="L911" s="1">
        <v>0.72</v>
      </c>
      <c r="M911" t="s">
        <v>71</v>
      </c>
      <c r="N911" t="s">
        <v>38</v>
      </c>
      <c r="O911">
        <v>13</v>
      </c>
      <c r="P911">
        <v>9</v>
      </c>
    </row>
    <row r="912" spans="1:16" x14ac:dyDescent="0.35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2">
        <v>75</v>
      </c>
      <c r="J912">
        <v>1.9</v>
      </c>
      <c r="M912" t="s">
        <v>51</v>
      </c>
      <c r="N912" t="s">
        <v>38</v>
      </c>
      <c r="O912">
        <v>8</v>
      </c>
      <c r="P912">
        <v>4</v>
      </c>
    </row>
    <row r="913" spans="1:16" x14ac:dyDescent="0.35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>
        <v>75</v>
      </c>
      <c r="J913">
        <v>2.4</v>
      </c>
      <c r="K913" t="s">
        <v>75</v>
      </c>
      <c r="M913" t="s">
        <v>76</v>
      </c>
      <c r="N913" t="s">
        <v>38</v>
      </c>
      <c r="O913">
        <v>14</v>
      </c>
      <c r="P913">
        <v>12</v>
      </c>
    </row>
    <row r="914" spans="1:16" x14ac:dyDescent="0.35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2">
        <v>30</v>
      </c>
      <c r="K914" t="s">
        <v>75</v>
      </c>
      <c r="L914" s="1">
        <v>0.74</v>
      </c>
      <c r="M914" t="s">
        <v>76</v>
      </c>
      <c r="N914" t="s">
        <v>38</v>
      </c>
      <c r="O914">
        <v>4</v>
      </c>
      <c r="P914">
        <v>1</v>
      </c>
    </row>
    <row r="915" spans="1:16" x14ac:dyDescent="0.35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t="s">
        <v>106</v>
      </c>
      <c r="J915">
        <v>3.7</v>
      </c>
      <c r="K915" t="s">
        <v>82</v>
      </c>
      <c r="L915" s="1">
        <v>0.82</v>
      </c>
      <c r="M915" t="s">
        <v>71</v>
      </c>
      <c r="N915" t="s">
        <v>65</v>
      </c>
      <c r="O915">
        <v>15</v>
      </c>
      <c r="P915">
        <v>6</v>
      </c>
    </row>
    <row r="916" spans="1:16" x14ac:dyDescent="0.35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t="s">
        <v>30</v>
      </c>
      <c r="J916">
        <v>1.1000000000000001</v>
      </c>
      <c r="K916" t="s">
        <v>166</v>
      </c>
      <c r="L916" s="1">
        <v>0.85</v>
      </c>
      <c r="M916" t="s">
        <v>51</v>
      </c>
      <c r="N916" t="s">
        <v>65</v>
      </c>
      <c r="O916">
        <v>12</v>
      </c>
      <c r="P916">
        <v>14</v>
      </c>
    </row>
    <row r="917" spans="1:16" x14ac:dyDescent="0.35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t="s">
        <v>58</v>
      </c>
      <c r="J917">
        <v>2.2999999999999998</v>
      </c>
      <c r="K917" t="b">
        <v>1</v>
      </c>
      <c r="L917" s="1">
        <v>0.68</v>
      </c>
      <c r="M917" t="s">
        <v>76</v>
      </c>
      <c r="N917" t="s">
        <v>38</v>
      </c>
      <c r="O917">
        <v>8</v>
      </c>
      <c r="P917">
        <v>7</v>
      </c>
    </row>
    <row r="918" spans="1:16" x14ac:dyDescent="0.35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82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5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65</v>
      </c>
      <c r="O920">
        <v>12</v>
      </c>
      <c r="P920">
        <v>5</v>
      </c>
    </row>
    <row r="921" spans="1:16" x14ac:dyDescent="0.35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51</v>
      </c>
      <c r="N921" t="s">
        <v>38</v>
      </c>
      <c r="O921">
        <v>15</v>
      </c>
      <c r="P921">
        <v>5</v>
      </c>
    </row>
    <row r="922" spans="1:16" x14ac:dyDescent="0.35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76</v>
      </c>
      <c r="N922" t="s">
        <v>38</v>
      </c>
      <c r="O922">
        <v>3</v>
      </c>
      <c r="P922">
        <v>1</v>
      </c>
    </row>
    <row r="923" spans="1:16" x14ac:dyDescent="0.35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2">
        <v>75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5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>
        <v>75</v>
      </c>
      <c r="J924">
        <v>2.9</v>
      </c>
      <c r="K924" t="s">
        <v>37</v>
      </c>
      <c r="M924" t="s">
        <v>51</v>
      </c>
      <c r="N924" t="s">
        <v>31</v>
      </c>
      <c r="O924">
        <v>1</v>
      </c>
      <c r="P924">
        <v>1</v>
      </c>
    </row>
    <row r="925" spans="1:16" x14ac:dyDescent="0.35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>
        <v>30</v>
      </c>
      <c r="J926">
        <v>3.3</v>
      </c>
      <c r="K926" t="s">
        <v>75</v>
      </c>
      <c r="L926" s="1">
        <v>0.89</v>
      </c>
      <c r="M926" t="s">
        <v>71</v>
      </c>
      <c r="N926" t="s">
        <v>23</v>
      </c>
      <c r="O926">
        <v>12</v>
      </c>
      <c r="P926">
        <v>10</v>
      </c>
    </row>
    <row r="927" spans="1:16" x14ac:dyDescent="0.35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t="s">
        <v>76</v>
      </c>
      <c r="N927" t="s">
        <v>38</v>
      </c>
      <c r="O927">
        <v>6</v>
      </c>
      <c r="P927">
        <v>3</v>
      </c>
    </row>
    <row r="928" spans="1:16" x14ac:dyDescent="0.35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t="s">
        <v>30</v>
      </c>
      <c r="J928">
        <v>3.7</v>
      </c>
      <c r="K928" t="s">
        <v>82</v>
      </c>
      <c r="L928">
        <v>61</v>
      </c>
      <c r="M928" t="s">
        <v>76</v>
      </c>
      <c r="N928" t="s">
        <v>31</v>
      </c>
      <c r="O928">
        <v>5</v>
      </c>
      <c r="P928">
        <v>1</v>
      </c>
    </row>
    <row r="929" spans="1:16" x14ac:dyDescent="0.35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2">
        <v>30</v>
      </c>
      <c r="J929">
        <v>4.5999999999999996</v>
      </c>
      <c r="K929">
        <v>1</v>
      </c>
      <c r="M929" t="s">
        <v>51</v>
      </c>
      <c r="N929" t="s">
        <v>23</v>
      </c>
      <c r="O929">
        <v>1</v>
      </c>
      <c r="P929">
        <v>1</v>
      </c>
    </row>
    <row r="930" spans="1:16" x14ac:dyDescent="0.35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51</v>
      </c>
      <c r="N930" t="s">
        <v>23</v>
      </c>
      <c r="O930">
        <v>9</v>
      </c>
      <c r="P930">
        <v>9</v>
      </c>
    </row>
    <row r="931" spans="1:16" x14ac:dyDescent="0.35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>
        <v>30</v>
      </c>
      <c r="J931">
        <v>2</v>
      </c>
      <c r="K931" t="s">
        <v>166</v>
      </c>
      <c r="L931" s="1">
        <v>0.96</v>
      </c>
      <c r="M931" t="s">
        <v>76</v>
      </c>
      <c r="N931" t="s">
        <v>38</v>
      </c>
      <c r="O931">
        <v>2</v>
      </c>
      <c r="P931">
        <v>3</v>
      </c>
    </row>
    <row r="932" spans="1:16" x14ac:dyDescent="0.35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71</v>
      </c>
      <c r="N934" t="s">
        <v>23</v>
      </c>
      <c r="O934">
        <v>8</v>
      </c>
      <c r="P934">
        <v>6</v>
      </c>
    </row>
    <row r="935" spans="1:16" x14ac:dyDescent="0.35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t="s">
        <v>51</v>
      </c>
      <c r="N936" t="s">
        <v>65</v>
      </c>
      <c r="O936">
        <v>9</v>
      </c>
      <c r="P936">
        <v>5</v>
      </c>
    </row>
    <row r="937" spans="1:16" x14ac:dyDescent="0.35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t="s">
        <v>319</v>
      </c>
      <c r="J937">
        <v>4.0999999999999996</v>
      </c>
      <c r="K937" t="s">
        <v>75</v>
      </c>
      <c r="L937" s="1">
        <v>0.82</v>
      </c>
      <c r="M937" t="s">
        <v>51</v>
      </c>
      <c r="N937" t="s">
        <v>65</v>
      </c>
      <c r="O937">
        <v>12</v>
      </c>
      <c r="P937">
        <v>1</v>
      </c>
    </row>
    <row r="938" spans="1:16" x14ac:dyDescent="0.35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>
        <v>20</v>
      </c>
      <c r="J938">
        <v>0</v>
      </c>
      <c r="K938" t="s">
        <v>82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t="s">
        <v>51</v>
      </c>
      <c r="N939" t="s">
        <v>65</v>
      </c>
      <c r="O939">
        <v>5</v>
      </c>
      <c r="P939">
        <v>3</v>
      </c>
    </row>
    <row r="940" spans="1:16" x14ac:dyDescent="0.35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t="s">
        <v>117</v>
      </c>
      <c r="L940">
        <v>69</v>
      </c>
      <c r="M940" t="s">
        <v>76</v>
      </c>
      <c r="N940" t="s">
        <v>31</v>
      </c>
      <c r="O940">
        <v>7</v>
      </c>
      <c r="P940">
        <v>3</v>
      </c>
    </row>
    <row r="941" spans="1:16" x14ac:dyDescent="0.35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>
        <v>40</v>
      </c>
      <c r="K941" t="s">
        <v>75</v>
      </c>
      <c r="L941" s="1">
        <v>0.91</v>
      </c>
      <c r="M941" t="s">
        <v>76</v>
      </c>
      <c r="N941" t="s">
        <v>31</v>
      </c>
      <c r="O941">
        <v>10</v>
      </c>
      <c r="P941">
        <v>10</v>
      </c>
    </row>
    <row r="942" spans="1:16" x14ac:dyDescent="0.35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2">
        <v>30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>
        <v>40</v>
      </c>
      <c r="J943">
        <v>4</v>
      </c>
      <c r="L943" s="1">
        <v>0.62</v>
      </c>
      <c r="M943" t="s">
        <v>76</v>
      </c>
      <c r="N943" t="s">
        <v>65</v>
      </c>
      <c r="O943">
        <v>7</v>
      </c>
      <c r="P943">
        <v>7</v>
      </c>
    </row>
    <row r="944" spans="1:16" x14ac:dyDescent="0.35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76</v>
      </c>
      <c r="N944" t="s">
        <v>31</v>
      </c>
      <c r="O944">
        <v>10</v>
      </c>
      <c r="P944">
        <v>9</v>
      </c>
    </row>
    <row r="945" spans="1:16" x14ac:dyDescent="0.35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>
        <v>75</v>
      </c>
      <c r="J945">
        <v>0</v>
      </c>
      <c r="K945" t="s">
        <v>166</v>
      </c>
      <c r="L945" s="1">
        <v>0.94</v>
      </c>
      <c r="M945" t="s">
        <v>71</v>
      </c>
      <c r="N945" t="s">
        <v>23</v>
      </c>
      <c r="O945">
        <v>13</v>
      </c>
      <c r="P945">
        <v>6</v>
      </c>
    </row>
    <row r="946" spans="1:16" x14ac:dyDescent="0.35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t="s">
        <v>117</v>
      </c>
      <c r="K946" t="s">
        <v>166</v>
      </c>
      <c r="L946" s="1">
        <v>0.95</v>
      </c>
      <c r="M946" t="s">
        <v>71</v>
      </c>
      <c r="N946" t="s">
        <v>38</v>
      </c>
      <c r="O946">
        <v>13</v>
      </c>
      <c r="P946">
        <v>2</v>
      </c>
    </row>
    <row r="947" spans="1:16" x14ac:dyDescent="0.35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t="s">
        <v>76</v>
      </c>
      <c r="N947" t="s">
        <v>38</v>
      </c>
      <c r="O947">
        <v>2</v>
      </c>
      <c r="P947">
        <v>1</v>
      </c>
    </row>
    <row r="948" spans="1:16" x14ac:dyDescent="0.35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71</v>
      </c>
      <c r="N949" t="s">
        <v>38</v>
      </c>
      <c r="O949">
        <v>8</v>
      </c>
      <c r="P949">
        <v>10</v>
      </c>
    </row>
    <row r="950" spans="1:16" x14ac:dyDescent="0.35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t="s">
        <v>106</v>
      </c>
      <c r="J950">
        <v>2.5</v>
      </c>
      <c r="K950" t="b">
        <v>1</v>
      </c>
      <c r="L950" s="1">
        <v>0.95</v>
      </c>
      <c r="M950" t="s">
        <v>51</v>
      </c>
      <c r="N950" t="s">
        <v>65</v>
      </c>
      <c r="O950">
        <v>9</v>
      </c>
      <c r="P950">
        <v>6</v>
      </c>
    </row>
    <row r="951" spans="1:16" x14ac:dyDescent="0.35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2">
        <v>20</v>
      </c>
      <c r="J951">
        <v>3.8</v>
      </c>
      <c r="L951" s="1">
        <v>0.97</v>
      </c>
      <c r="M951" t="s">
        <v>51</v>
      </c>
      <c r="N951" t="s">
        <v>65</v>
      </c>
      <c r="O951">
        <v>8</v>
      </c>
      <c r="P951">
        <v>2</v>
      </c>
    </row>
    <row r="952" spans="1:16" x14ac:dyDescent="0.35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51</v>
      </c>
      <c r="N952" t="s">
        <v>38</v>
      </c>
      <c r="O952">
        <v>14</v>
      </c>
      <c r="P952">
        <v>6</v>
      </c>
    </row>
    <row r="953" spans="1:16" x14ac:dyDescent="0.35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65</v>
      </c>
      <c r="O953">
        <v>13</v>
      </c>
      <c r="P953">
        <v>14</v>
      </c>
    </row>
    <row r="954" spans="1:16" x14ac:dyDescent="0.35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76</v>
      </c>
      <c r="N954" t="s">
        <v>38</v>
      </c>
      <c r="O954">
        <v>10</v>
      </c>
      <c r="P954">
        <v>17</v>
      </c>
    </row>
    <row r="955" spans="1:16" x14ac:dyDescent="0.35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51</v>
      </c>
      <c r="N955" t="s">
        <v>38</v>
      </c>
      <c r="O955">
        <v>19</v>
      </c>
      <c r="P955">
        <v>12</v>
      </c>
    </row>
    <row r="956" spans="1:16" x14ac:dyDescent="0.35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2">
        <v>100</v>
      </c>
      <c r="K956" t="s">
        <v>82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106</v>
      </c>
      <c r="K957">
        <v>1</v>
      </c>
      <c r="L957" s="1">
        <v>0.96</v>
      </c>
      <c r="M957" t="s">
        <v>71</v>
      </c>
      <c r="N957" t="s">
        <v>31</v>
      </c>
      <c r="O957">
        <v>1</v>
      </c>
      <c r="P957">
        <v>3</v>
      </c>
    </row>
    <row r="958" spans="1:16" x14ac:dyDescent="0.35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76</v>
      </c>
      <c r="N958" t="s">
        <v>38</v>
      </c>
      <c r="O958">
        <v>4</v>
      </c>
      <c r="P958">
        <v>2</v>
      </c>
    </row>
    <row r="959" spans="1:16" x14ac:dyDescent="0.35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2">
        <v>20</v>
      </c>
      <c r="J959">
        <v>1.6</v>
      </c>
      <c r="K959" t="s">
        <v>75</v>
      </c>
      <c r="L959" s="1">
        <v>0.64</v>
      </c>
      <c r="M959" t="s">
        <v>71</v>
      </c>
      <c r="N959" t="s">
        <v>31</v>
      </c>
      <c r="O959">
        <v>12</v>
      </c>
      <c r="P959">
        <v>2</v>
      </c>
    </row>
    <row r="960" spans="1:16" x14ac:dyDescent="0.35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5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51</v>
      </c>
      <c r="N961" t="s">
        <v>38</v>
      </c>
      <c r="O961">
        <v>3</v>
      </c>
      <c r="P961">
        <v>2</v>
      </c>
    </row>
    <row r="962" spans="1:16" x14ac:dyDescent="0.35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t="s">
        <v>319</v>
      </c>
      <c r="J962">
        <v>4.7</v>
      </c>
      <c r="K962" t="s">
        <v>75</v>
      </c>
      <c r="L962">
        <v>71</v>
      </c>
      <c r="M962" t="s">
        <v>51</v>
      </c>
      <c r="N962" t="s">
        <v>38</v>
      </c>
      <c r="O962">
        <v>11</v>
      </c>
      <c r="P962">
        <v>10</v>
      </c>
    </row>
    <row r="963" spans="1:16" x14ac:dyDescent="0.35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2">
        <v>100</v>
      </c>
      <c r="J963">
        <v>0</v>
      </c>
      <c r="K963" t="s">
        <v>75</v>
      </c>
      <c r="L963" s="1">
        <v>0.95</v>
      </c>
      <c r="M963" t="s">
        <v>22</v>
      </c>
      <c r="N963" t="s">
        <v>65</v>
      </c>
      <c r="O963">
        <v>5</v>
      </c>
      <c r="P963">
        <v>5</v>
      </c>
    </row>
    <row r="964" spans="1:16" x14ac:dyDescent="0.35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51</v>
      </c>
      <c r="N964" t="s">
        <v>31</v>
      </c>
      <c r="O964">
        <v>4</v>
      </c>
      <c r="P964">
        <v>1</v>
      </c>
    </row>
    <row r="965" spans="1:16" x14ac:dyDescent="0.35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76</v>
      </c>
      <c r="N965" t="s">
        <v>31</v>
      </c>
      <c r="O965">
        <v>4</v>
      </c>
      <c r="P965">
        <v>3</v>
      </c>
    </row>
    <row r="966" spans="1:16" x14ac:dyDescent="0.35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2">
        <v>20</v>
      </c>
      <c r="J967">
        <v>2.7</v>
      </c>
      <c r="L967" s="1">
        <v>0.72</v>
      </c>
      <c r="M967" t="s">
        <v>71</v>
      </c>
      <c r="N967" t="s">
        <v>38</v>
      </c>
      <c r="O967">
        <v>5</v>
      </c>
      <c r="P967">
        <v>1</v>
      </c>
    </row>
    <row r="968" spans="1:16" x14ac:dyDescent="0.35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65</v>
      </c>
      <c r="O968">
        <v>9</v>
      </c>
      <c r="P968">
        <v>2</v>
      </c>
    </row>
    <row r="969" spans="1:16" x14ac:dyDescent="0.35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76</v>
      </c>
      <c r="N969" t="s">
        <v>65</v>
      </c>
      <c r="O969">
        <v>8</v>
      </c>
      <c r="P969">
        <v>3</v>
      </c>
    </row>
    <row r="970" spans="1:16" x14ac:dyDescent="0.35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76</v>
      </c>
      <c r="N970" t="s">
        <v>65</v>
      </c>
      <c r="O970">
        <v>4</v>
      </c>
      <c r="P970">
        <v>3</v>
      </c>
    </row>
    <row r="971" spans="1:16" x14ac:dyDescent="0.35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t="s">
        <v>61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51</v>
      </c>
      <c r="N973" t="s">
        <v>31</v>
      </c>
      <c r="O973">
        <v>1</v>
      </c>
      <c r="P973">
        <v>2</v>
      </c>
    </row>
    <row r="974" spans="1:16" x14ac:dyDescent="0.35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t="s">
        <v>117</v>
      </c>
      <c r="J974">
        <v>3.9</v>
      </c>
      <c r="K974" t="s">
        <v>37</v>
      </c>
      <c r="L974" s="1">
        <v>0.9</v>
      </c>
      <c r="M974" t="s">
        <v>76</v>
      </c>
      <c r="N974" t="s">
        <v>38</v>
      </c>
      <c r="O974">
        <v>5</v>
      </c>
      <c r="P974">
        <v>1</v>
      </c>
    </row>
    <row r="975" spans="1:16" x14ac:dyDescent="0.35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>
        <v>30</v>
      </c>
      <c r="J975">
        <v>1.6</v>
      </c>
      <c r="K975" t="s">
        <v>82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>
        <v>100</v>
      </c>
      <c r="J977">
        <v>3.7</v>
      </c>
      <c r="K977" t="s">
        <v>166</v>
      </c>
      <c r="L977" s="1">
        <v>0.73</v>
      </c>
      <c r="M977" t="s">
        <v>76</v>
      </c>
      <c r="N977" t="s">
        <v>23</v>
      </c>
      <c r="O977">
        <v>13</v>
      </c>
      <c r="P977">
        <v>5</v>
      </c>
    </row>
    <row r="978" spans="1:16" x14ac:dyDescent="0.35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>
        <v>75</v>
      </c>
      <c r="K978">
        <v>0</v>
      </c>
      <c r="M978" t="s">
        <v>22</v>
      </c>
      <c r="N978" t="s">
        <v>65</v>
      </c>
      <c r="O978">
        <v>6</v>
      </c>
      <c r="P978">
        <v>4</v>
      </c>
    </row>
    <row r="979" spans="1:16" x14ac:dyDescent="0.35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51</v>
      </c>
      <c r="N979" t="s">
        <v>31</v>
      </c>
      <c r="O979">
        <v>10</v>
      </c>
      <c r="P979">
        <v>14</v>
      </c>
    </row>
    <row r="980" spans="1:16" x14ac:dyDescent="0.35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76</v>
      </c>
      <c r="N980" t="s">
        <v>23</v>
      </c>
      <c r="O980">
        <v>4</v>
      </c>
      <c r="P980">
        <v>1</v>
      </c>
    </row>
    <row r="981" spans="1:16" x14ac:dyDescent="0.35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51</v>
      </c>
      <c r="N981" t="s">
        <v>65</v>
      </c>
      <c r="O981">
        <v>4</v>
      </c>
      <c r="P981">
        <v>1</v>
      </c>
    </row>
    <row r="982" spans="1:16" x14ac:dyDescent="0.35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2">
        <v>40</v>
      </c>
      <c r="J982">
        <v>3.9</v>
      </c>
      <c r="M982" t="s">
        <v>51</v>
      </c>
      <c r="N982" t="s">
        <v>31</v>
      </c>
      <c r="O982">
        <v>12</v>
      </c>
      <c r="P982">
        <v>2</v>
      </c>
    </row>
    <row r="983" spans="1:16" x14ac:dyDescent="0.35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51</v>
      </c>
      <c r="N983" t="s">
        <v>38</v>
      </c>
      <c r="O983">
        <v>14</v>
      </c>
      <c r="P983">
        <v>7</v>
      </c>
    </row>
    <row r="984" spans="1:16" x14ac:dyDescent="0.35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2">
        <v>40</v>
      </c>
      <c r="J984">
        <v>0</v>
      </c>
      <c r="K984" t="s">
        <v>166</v>
      </c>
      <c r="L984" s="1">
        <v>0.97</v>
      </c>
      <c r="M984" t="s">
        <v>51</v>
      </c>
      <c r="N984" t="s">
        <v>23</v>
      </c>
      <c r="O984">
        <v>4</v>
      </c>
      <c r="P984">
        <v>3</v>
      </c>
    </row>
    <row r="985" spans="1:16" x14ac:dyDescent="0.35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76</v>
      </c>
      <c r="N985" t="s">
        <v>38</v>
      </c>
      <c r="O985">
        <v>15</v>
      </c>
      <c r="P985">
        <v>11</v>
      </c>
    </row>
    <row r="986" spans="1:16" x14ac:dyDescent="0.35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51</v>
      </c>
      <c r="N986" t="s">
        <v>31</v>
      </c>
      <c r="O986">
        <v>6</v>
      </c>
      <c r="P986">
        <v>7</v>
      </c>
    </row>
    <row r="987" spans="1:16" x14ac:dyDescent="0.35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51</v>
      </c>
      <c r="N987" t="s">
        <v>23</v>
      </c>
      <c r="O987">
        <v>20</v>
      </c>
      <c r="P987">
        <v>12</v>
      </c>
    </row>
    <row r="988" spans="1:16" x14ac:dyDescent="0.35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>
        <v>50</v>
      </c>
      <c r="J988">
        <v>0</v>
      </c>
      <c r="K988" t="s">
        <v>75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76</v>
      </c>
      <c r="N989" t="s">
        <v>38</v>
      </c>
      <c r="O989">
        <v>13</v>
      </c>
      <c r="P989">
        <v>3</v>
      </c>
    </row>
    <row r="990" spans="1:16" x14ac:dyDescent="0.35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76</v>
      </c>
      <c r="N990" t="s">
        <v>23</v>
      </c>
      <c r="O990">
        <v>2</v>
      </c>
      <c r="P990">
        <v>3</v>
      </c>
    </row>
    <row r="991" spans="1:16" x14ac:dyDescent="0.35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71</v>
      </c>
      <c r="N991" t="s">
        <v>38</v>
      </c>
      <c r="O991">
        <v>5</v>
      </c>
      <c r="P991">
        <v>1</v>
      </c>
    </row>
    <row r="992" spans="1:16" x14ac:dyDescent="0.35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>
        <v>100</v>
      </c>
      <c r="J992">
        <v>3.7</v>
      </c>
      <c r="K992" t="s">
        <v>75</v>
      </c>
      <c r="L992">
        <v>73</v>
      </c>
      <c r="M992" t="s">
        <v>76</v>
      </c>
      <c r="N992" t="s">
        <v>31</v>
      </c>
      <c r="O992">
        <v>2</v>
      </c>
      <c r="P992">
        <v>3</v>
      </c>
    </row>
    <row r="993" spans="1:16" x14ac:dyDescent="0.35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t="s">
        <v>106</v>
      </c>
      <c r="J993">
        <v>4.9000000000000004</v>
      </c>
      <c r="K993" t="b">
        <v>0</v>
      </c>
      <c r="L993" s="1">
        <v>0.69</v>
      </c>
      <c r="M993" t="s">
        <v>76</v>
      </c>
      <c r="N993" t="s">
        <v>31</v>
      </c>
      <c r="O993">
        <v>16</v>
      </c>
      <c r="P993">
        <v>2</v>
      </c>
    </row>
    <row r="994" spans="1:16" x14ac:dyDescent="0.35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71</v>
      </c>
      <c r="N994" t="s">
        <v>38</v>
      </c>
      <c r="O994">
        <v>20</v>
      </c>
      <c r="P994">
        <v>7</v>
      </c>
    </row>
    <row r="995" spans="1:16" x14ac:dyDescent="0.35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76</v>
      </c>
      <c r="N995" t="s">
        <v>23</v>
      </c>
      <c r="O995">
        <v>7</v>
      </c>
      <c r="P995">
        <v>13</v>
      </c>
    </row>
    <row r="996" spans="1:16" x14ac:dyDescent="0.35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>
        <v>30</v>
      </c>
      <c r="J996">
        <v>3.9</v>
      </c>
      <c r="K996" t="s">
        <v>82</v>
      </c>
      <c r="L996" s="1">
        <v>0.95</v>
      </c>
      <c r="M996" t="s">
        <v>76</v>
      </c>
      <c r="N996" t="s">
        <v>38</v>
      </c>
      <c r="O996">
        <v>10</v>
      </c>
      <c r="P996">
        <v>3</v>
      </c>
    </row>
    <row r="997" spans="1:16" x14ac:dyDescent="0.35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>
        <v>100</v>
      </c>
      <c r="J997">
        <v>0</v>
      </c>
      <c r="K997" t="s">
        <v>166</v>
      </c>
      <c r="L997" s="1">
        <v>0.68</v>
      </c>
      <c r="M997" t="s">
        <v>76</v>
      </c>
      <c r="N997" t="s">
        <v>31</v>
      </c>
      <c r="O997">
        <v>8</v>
      </c>
      <c r="P997">
        <v>3</v>
      </c>
    </row>
    <row r="998" spans="1:16" x14ac:dyDescent="0.35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61</v>
      </c>
      <c r="J998">
        <v>2.8</v>
      </c>
      <c r="K998" t="s">
        <v>37</v>
      </c>
      <c r="L998">
        <v>82</v>
      </c>
      <c r="M998" t="s">
        <v>76</v>
      </c>
      <c r="N998" t="s">
        <v>38</v>
      </c>
      <c r="O998">
        <v>6</v>
      </c>
      <c r="P998">
        <v>11</v>
      </c>
    </row>
    <row r="999" spans="1:16" x14ac:dyDescent="0.35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>
        <v>75</v>
      </c>
      <c r="K999" t="b">
        <v>0</v>
      </c>
      <c r="L999" s="1">
        <v>0.94</v>
      </c>
      <c r="M999" t="s">
        <v>71</v>
      </c>
      <c r="N999" t="s">
        <v>31</v>
      </c>
      <c r="O999">
        <v>14</v>
      </c>
      <c r="P999">
        <v>12</v>
      </c>
    </row>
    <row r="1000" spans="1:16" x14ac:dyDescent="0.35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>
        <v>100</v>
      </c>
      <c r="J1000">
        <v>2.8</v>
      </c>
      <c r="K1000" t="s">
        <v>75</v>
      </c>
      <c r="L1000">
        <v>97</v>
      </c>
      <c r="M1000" t="s">
        <v>76</v>
      </c>
      <c r="N1000" t="s">
        <v>38</v>
      </c>
      <c r="O1000">
        <v>12</v>
      </c>
      <c r="P1000">
        <v>6</v>
      </c>
    </row>
    <row r="1001" spans="1:16" x14ac:dyDescent="0.35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76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9883-C445-4029-8A9B-E8D22599589F}">
  <sheetPr>
    <tabColor theme="7" tint="-0.249977111117893"/>
  </sheetPr>
  <dimension ref="A1:A4"/>
  <sheetViews>
    <sheetView workbookViewId="0">
      <selection activeCell="E16" sqref="E16"/>
    </sheetView>
  </sheetViews>
  <sheetFormatPr defaultRowHeight="14.5" x14ac:dyDescent="0.35"/>
  <cols>
    <col min="1" max="1" width="53.08984375" bestFit="1" customWidth="1"/>
  </cols>
  <sheetData>
    <row r="1" spans="1:1" x14ac:dyDescent="0.35">
      <c r="A1" s="4" t="s">
        <v>2082</v>
      </c>
    </row>
    <row r="2" spans="1:1" x14ac:dyDescent="0.35">
      <c r="A2" s="3" t="s">
        <v>2083</v>
      </c>
    </row>
    <row r="3" spans="1:1" x14ac:dyDescent="0.35">
      <c r="A3" s="3" t="s">
        <v>2084</v>
      </c>
    </row>
    <row r="4" spans="1:1" x14ac:dyDescent="0.35">
      <c r="A4" s="3" t="s">
        <v>2085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FA1-3C00-4D23-90C9-4ACC8E2C751B}">
  <dimension ref="A1:P1003"/>
  <sheetViews>
    <sheetView topLeftCell="A979" workbookViewId="0">
      <selection activeCell="E16" sqref="E16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8.26953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</cols>
  <sheetData>
    <row r="1" spans="1:1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</row>
    <row r="3" spans="1:16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</row>
    <row r="4" spans="1:16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</row>
    <row r="5" spans="1:16" x14ac:dyDescent="0.35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</row>
    <row r="6" spans="1:16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6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6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6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6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6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6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6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6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6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6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5"/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5"/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5"/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5"/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5"/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5"/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5"/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5"/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5"/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5"/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5"/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5"/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5"/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5"/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5"/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5"/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5"/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5"/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5"/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5"/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5"/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5"/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5"/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5"/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5"/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5"/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5"/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5"/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5"/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 t="s">
        <v>2086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543D-4146-4E12-B403-00874BF62C9E}">
  <dimension ref="A1:S1003"/>
  <sheetViews>
    <sheetView tabSelected="1" topLeftCell="K1" workbookViewId="0">
      <selection activeCell="N18" sqref="N18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10.36328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  <col min="18" max="18" width="35.6328125" bestFit="1" customWidth="1"/>
  </cols>
  <sheetData>
    <row r="1" spans="1:19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R1" s="15" t="s">
        <v>2091</v>
      </c>
      <c r="S1" s="16"/>
    </row>
    <row r="2" spans="1:19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R2" s="10" t="s">
        <v>2088</v>
      </c>
      <c r="S2" s="11">
        <f>AVERAGE(Table13[age])</f>
        <v>40.50927835051548</v>
      </c>
    </row>
    <row r="3" spans="1:19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  <c r="R3" s="10" t="s">
        <v>2087</v>
      </c>
      <c r="S3" s="12">
        <f>SUM(Table13[[no of projects ]])</f>
        <v>8715</v>
      </c>
    </row>
    <row r="4" spans="1:19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  <c r="R4" s="10" t="s">
        <v>2089</v>
      </c>
      <c r="S4" s="12">
        <f>MIN(Table13[duration_months])</f>
        <v>1</v>
      </c>
    </row>
    <row r="5" spans="1:19" ht="15" thickBot="1" x14ac:dyDescent="0.4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  <c r="R5" s="13" t="s">
        <v>2090</v>
      </c>
      <c r="S5" s="14">
        <f>MAX(Table13[duration_months])</f>
        <v>20</v>
      </c>
    </row>
    <row r="6" spans="1:19" ht="15" thickBot="1" x14ac:dyDescent="0.4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9" ht="15" thickBot="1" x14ac:dyDescent="0.4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  <c r="R7" s="15" t="s">
        <v>2091</v>
      </c>
      <c r="S7" s="16"/>
    </row>
    <row r="8" spans="1:19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  <c r="R8" s="10" t="s">
        <v>2092</v>
      </c>
      <c r="S8" s="12">
        <f>SUMIF(Table13[Status],"On Hold",Table13[[no of projects ]])</f>
        <v>2087</v>
      </c>
    </row>
    <row r="9" spans="1:19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  <c r="R9" s="10" t="s">
        <v>2093</v>
      </c>
      <c r="S9" s="12">
        <f>COUNTIF(Table13[Notes],"Reviewed")</f>
        <v>232</v>
      </c>
    </row>
    <row r="10" spans="1:19" ht="15" thickBot="1" x14ac:dyDescent="0.4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  <c r="R10" s="13" t="s">
        <v>2094</v>
      </c>
      <c r="S10" s="14">
        <f>AVERAGEIF(Table13[Notes],"Reviewed",Table13[duration_months])</f>
        <v>5.4181034482758621</v>
      </c>
    </row>
    <row r="11" spans="1:19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9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9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9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9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9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9">
        <v>40.509278350515466</v>
      </c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9">
        <v>40.509278350515466</v>
      </c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9">
        <v>40.509278350515466</v>
      </c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9">
        <v>40.509278350515466</v>
      </c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9">
        <v>40.509278350515466</v>
      </c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9">
        <v>40.509278350515466</v>
      </c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9">
        <v>40.509278350515466</v>
      </c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9">
        <v>40.509278350515466</v>
      </c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9">
        <v>40.509278350515466</v>
      </c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9">
        <v>40.509278350515466</v>
      </c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9">
        <v>40.509278350515466</v>
      </c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9">
        <v>40.509278350515466</v>
      </c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9">
        <v>40.509278350515466</v>
      </c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9">
        <v>40.509278350515466</v>
      </c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9">
        <v>40.509278350515466</v>
      </c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9">
        <v>40.509278350515466</v>
      </c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9">
        <v>40.509278350515466</v>
      </c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9">
        <v>40.509278350515466</v>
      </c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9">
        <v>40.509278350515466</v>
      </c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9">
        <v>40.509278350515466</v>
      </c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9">
        <v>40.509278350515466</v>
      </c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9">
        <v>40.509278350515466</v>
      </c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9">
        <v>40.509278350515466</v>
      </c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9">
        <v>40.509278350515466</v>
      </c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9">
        <v>40.509278350515466</v>
      </c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9">
        <v>40.509278350515466</v>
      </c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9">
        <v>40.509278350515466</v>
      </c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9">
        <v>40.509278350515466</v>
      </c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9">
        <v>40.509278350515466</v>
      </c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9">
        <v>40.509278350515466</v>
      </c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/>
    </row>
  </sheetData>
  <mergeCells count="2">
    <mergeCell ref="R1:S1"/>
    <mergeCell ref="R7:S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global_freelancer_raw.1</vt:lpstr>
      <vt:lpstr>Task 1</vt:lpstr>
      <vt:lpstr>Task 2</vt:lpstr>
      <vt:lpstr>Step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Palaniraj</dc:creator>
  <cp:lastModifiedBy>Akash Palaniraj</cp:lastModifiedBy>
  <dcterms:created xsi:type="dcterms:W3CDTF">2025-11-14T18:56:36Z</dcterms:created>
  <dcterms:modified xsi:type="dcterms:W3CDTF">2025-11-15T13:20:39Z</dcterms:modified>
</cp:coreProperties>
</file>