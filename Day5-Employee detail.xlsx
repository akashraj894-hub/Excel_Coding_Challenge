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215" documentId="13_ncr:1_{0BDA8962-DD5F-4814-8ABA-9DE33F48764E}" xr6:coauthVersionLast="47" xr6:coauthVersionMax="47" xr10:uidLastSave="{53883338-C4AC-4CA9-94F9-E3CA8EA4E1C9}"/>
  <bookViews>
    <workbookView xWindow="-110" yWindow="-110" windowWidth="19420" windowHeight="10300" activeTab="1" xr2:uid="{00000000-000D-0000-FFFF-FFFF00000000}"/>
  </bookViews>
  <sheets>
    <sheet name="Raw Data" sheetId="1" r:id="rId1"/>
    <sheet name="cleaning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5" i="3"/>
  <c r="L4" i="3"/>
  <c r="L3" i="3"/>
  <c r="L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L12" i="3"/>
  <c r="L11" i="3"/>
  <c r="L10" i="3"/>
</calcChain>
</file>

<file path=xl/sharedStrings.xml><?xml version="1.0" encoding="utf-8"?>
<sst xmlns="http://schemas.openxmlformats.org/spreadsheetml/2006/main" count="1823" uniqueCount="438">
  <si>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</si>
  <si>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</si>
  <si>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</si>
  <si>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</si>
  <si>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</si>
  <si>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</si>
  <si>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</si>
  <si>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</si>
  <si>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</si>
  <si>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</si>
  <si>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</si>
  <si>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</si>
  <si>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</si>
  <si>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</si>
  <si>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</si>
  <si>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</si>
  <si>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</si>
  <si>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</si>
  <si>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</si>
  <si>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</si>
  <si>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</si>
  <si>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</si>
  <si>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</si>
  <si>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</si>
  <si>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</si>
  <si>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</si>
  <si>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</si>
  <si>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</si>
  <si>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</si>
  <si>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</si>
  <si>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</si>
  <si>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</si>
  <si>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</si>
  <si>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</si>
  <si>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</si>
  <si>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</si>
  <si>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</si>
  <si>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</si>
  <si>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</si>
  <si>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</si>
  <si>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</si>
  <si>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</si>
  <si>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</si>
  <si>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</si>
  <si>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</si>
  <si>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</si>
  <si>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</si>
  <si>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</si>
  <si>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</si>
  <si>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</si>
  <si>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</si>
  <si>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</si>
  <si>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</si>
  <si>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</si>
  <si>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</si>
  <si>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</si>
  <si>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</si>
  <si>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</si>
  <si>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</si>
  <si>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</si>
  <si>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</si>
  <si>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</si>
  <si>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</si>
  <si>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</si>
  <si>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</si>
  <si>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</si>
  <si>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</si>
  <si>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</si>
  <si>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</si>
  <si>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</si>
  <si>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</si>
  <si>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</si>
  <si>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</si>
  <si>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</si>
  <si>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</si>
  <si>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</si>
  <si>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</si>
  <si>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</si>
  <si>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</si>
  <si>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</si>
  <si>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</si>
  <si>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</si>
  <si>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</si>
  <si>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</si>
  <si>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</si>
  <si>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</si>
  <si>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</si>
  <si>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</si>
  <si>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</si>
  <si>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</si>
  <si>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</si>
  <si>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</si>
  <si>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</si>
  <si>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</si>
  <si>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</si>
  <si>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</si>
  <si>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</si>
  <si>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</si>
  <si>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</si>
  <si>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</si>
  <si>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</si>
  <si>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</si>
  <si>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</si>
  <si>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</si>
  <si>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</si>
  <si>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</si>
  <si>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</si>
  <si>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</si>
  <si>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</si>
  <si>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</si>
  <si>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</si>
  <si>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</si>
  <si>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</si>
  <si>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</si>
  <si>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</si>
  <si>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</si>
  <si>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</si>
  <si>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</si>
  <si>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</si>
  <si>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</si>
  <si>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</si>
  <si>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</si>
  <si>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</si>
  <si>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</si>
  <si>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</si>
  <si>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</si>
  <si>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</si>
  <si>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</si>
  <si>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</si>
  <si>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</si>
  <si>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</si>
  <si>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</si>
  <si>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</si>
  <si>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</si>
  <si>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</si>
  <si>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</si>
  <si>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</si>
  <si>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</si>
  <si>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</si>
  <si>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</si>
  <si>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</si>
  <si>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</si>
  <si>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</si>
  <si>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</si>
  <si>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</si>
  <si>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</si>
  <si>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</si>
  <si>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</si>
  <si>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</si>
  <si>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</si>
  <si>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</si>
  <si>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</si>
  <si>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</si>
  <si>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</si>
  <si>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</si>
  <si>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</si>
  <si>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</si>
  <si>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</si>
  <si>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</si>
  <si>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</si>
  <si>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</si>
  <si>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</si>
  <si>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</si>
  <si>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</si>
  <si>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</si>
  <si>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</si>
  <si>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</si>
  <si>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</si>
  <si>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</si>
  <si>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</si>
  <si>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</si>
  <si>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</si>
  <si>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</si>
  <si>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</si>
  <si>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</si>
  <si>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</si>
  <si>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</si>
  <si>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</si>
  <si>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</si>
  <si>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</si>
  <si>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</si>
  <si>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</si>
  <si>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</si>
  <si>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</si>
  <si>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</si>
  <si>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</si>
  <si>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</si>
  <si>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</si>
  <si>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</si>
  <si>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</si>
  <si>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</si>
  <si>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</si>
  <si>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</si>
  <si>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</si>
  <si>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</si>
  <si>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</si>
  <si>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</si>
  <si>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</si>
  <si>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</si>
  <si>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</si>
  <si>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</si>
  <si>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</si>
  <si>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</si>
  <si>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</si>
  <si>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</si>
  <si>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</si>
  <si>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</si>
  <si>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</si>
  <si>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</si>
  <si>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</si>
  <si>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</si>
  <si>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</si>
  <si>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</si>
  <si>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</si>
  <si>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</si>
  <si>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</si>
  <si>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</si>
  <si>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</si>
  <si>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</si>
  <si>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</si>
  <si>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</si>
  <si>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</si>
  <si>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</si>
  <si>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</si>
  <si>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</si>
  <si>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</si>
  <si>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</si>
  <si>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</si>
  <si>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</si>
  <si>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</si>
  <si>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</si>
  <si>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</si>
  <si>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</si>
  <si>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</si>
  <si>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</si>
  <si>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</si>
  <si>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</si>
  <si>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</si>
  <si>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</si>
  <si>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</si>
  <si>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</si>
  <si>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</si>
  <si>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</si>
  <si>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</si>
  <si>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</si>
  <si>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</si>
  <si>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</si>
  <si>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</si>
  <si>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</si>
  <si>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</si>
  <si>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</si>
  <si>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</si>
  <si>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</si>
  <si>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</si>
  <si>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</si>
  <si>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</si>
  <si>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</si>
  <si>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</si>
  <si>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</si>
  <si>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</si>
  <si>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</si>
  <si>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</si>
  <si>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</si>
  <si>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</si>
  <si>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</si>
  <si>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</si>
  <si>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</si>
  <si>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</si>
  <si>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</si>
  <si>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</si>
  <si>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</si>
  <si>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</si>
  <si>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</si>
  <si>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</si>
  <si>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</si>
  <si>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</si>
  <si>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</si>
  <si>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</si>
  <si>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</si>
  <si>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</si>
  <si>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</si>
  <si>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</si>
  <si>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/>
  </si>
  <si>
    <t>Average for IT</t>
  </si>
  <si>
    <t>Sum for Sales</t>
  </si>
  <si>
    <t>Count of HR</t>
  </si>
  <si>
    <t>Summary 2</t>
  </si>
  <si>
    <t>Average</t>
  </si>
  <si>
    <t>Sum</t>
  </si>
  <si>
    <t>Minimum</t>
  </si>
  <si>
    <t>Maximum</t>
  </si>
  <si>
    <t>Count</t>
  </si>
  <si>
    <t xml:space="preserve">ID NUMBER </t>
  </si>
  <si>
    <t>FINANCE</t>
  </si>
  <si>
    <t>SALES</t>
  </si>
  <si>
    <t>MARKETING</t>
  </si>
  <si>
    <t>00-01-1900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</si>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</sst>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0" borderId="12" xfId="0" applyFont="1" applyBorder="1"/>
    <xf numFmtId="1" fontId="0" fillId="0" borderId="13" xfId="0" applyNumberFormat="1" applyBorder="1" applyAlignment="1">
      <alignment horizontal="center"/>
    </xf>
    <xf numFmtId="0" fontId="1" fillId="0" borderId="14" xfId="0" applyFont="1" applyBorder="1"/>
    <xf numFmtId="1" fontId="0" fillId="0" borderId="15" xfId="0" applyNumberFormat="1" applyBorder="1" applyAlignment="1">
      <alignment horizontal="center"/>
    </xf>
    <xf numFmtId="0" fontId="1" fillId="0" borderId="16" xfId="0" applyFont="1" applyBorder="1"/>
    <xf numFmtId="0" fontId="0" fillId="0" borderId="17" xfId="0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</cellXfs>
  <cellStyles count="1">
    <cellStyle name="Normal" xfId="0" builtinId="0"/>
  </cellStyles>
  <dxfs count="23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J151" totalsRowShown="0" headerRowDxfId="22" totalsRowDxfId="19" headerRowBorderDxfId="21" tableBorderDxfId="20">
  <autoFilter ref="A1:J151" xr:uid="{AE511313-6F90-4C6C-AC49-2F7FC5E183EB}"/>
  <tableColumns count="10">
    <tableColumn id="1" xr3:uid="{3680EDD8-1F63-4CC0-A4A8-DF4F8C179EC8}" name="Employee ID" dataDxfId="18" totalsRowDxfId="17"/>
    <tableColumn id="12" xr3:uid="{BF794725-8B76-4F82-AB3F-B7511634F610}" name="Name" dataDxfId="16" totalsRowDxfId="15"/>
    <tableColumn id="2" xr3:uid="{45C1F977-F2B7-41EF-B283-69713CFE5EB9}" name="ID NUMBER " dataDxfId="14" totalsRowDxfId="13">
      <calculatedColumnFormula>RIGHT(Table1[[#This Row],[Employee ID]],4)</calculatedColumnFormula>
    </tableColumn>
    <tableColumn id="3" xr3:uid="{A6291537-9F44-4169-8F27-34A83A968648}" name="Department" dataDxfId="12"/>
    <tableColumn id="4" xr3:uid="{C872F1D3-808A-4B84-9789-656A988CBD73}" name="Country" dataDxfId="11" totalsRowDxfId="10"/>
    <tableColumn id="5" xr3:uid="{7ADE143E-4514-4388-8DFA-8E95EF2C7727}" name="Salary" dataDxfId="9" totalsRowDxfId="8"/>
    <tableColumn id="6" xr3:uid="{90B98D61-0373-4081-AFEE-CFE188C18289}" name="Date of Joining" dataDxfId="7" totalsRowDxfId="6"/>
    <tableColumn id="7" xr3:uid="{3C7E43AC-387F-4839-86A6-9DBBC7A2A8C1}" name="Performance Rating" dataDxfId="5" totalsRowDxfId="4"/>
    <tableColumn id="8" xr3:uid="{7E7E1909-CAA5-4D61-853E-EF1A47B402E8}" name="Gender" dataDxfId="3" totalsRowDxfId="2"/>
    <tableColumn id="9" xr3:uid="{07698ABF-4A30-4550-999A-0F322F503702}" name="Email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L151"/>
  <sheetViews>
    <sheetView tabSelected="1" topLeftCell="C1" workbookViewId="0">
      <selection activeCell="M1" sqref="M1"/>
    </sheetView>
  </sheetViews>
  <sheetFormatPr defaultRowHeight="14.5" x14ac:dyDescent="0.35"/>
  <cols>
    <col min="1" max="1" width="15.81640625" bestFit="1" customWidth="1"/>
    <col min="2" max="3" width="11.453125" customWidth="1"/>
    <col min="4" max="4" width="15.6328125" bestFit="1" customWidth="1"/>
    <col min="5" max="5" width="12.08984375" bestFit="1" customWidth="1"/>
    <col min="6" max="6" width="10.36328125" bestFit="1" customWidth="1"/>
    <col min="7" max="7" width="17.81640625" bestFit="1" customWidth="1"/>
    <col min="8" max="8" width="22.08984375" bestFit="1" customWidth="1"/>
    <col min="9" max="10" width="20.6328125" bestFit="1" customWidth="1"/>
    <col min="11" max="11" width="18" customWidth="1"/>
  </cols>
  <sheetData>
    <row r="1" spans="1:12" ht="15" thickBot="1" x14ac:dyDescent="0.4">
      <c r="A1" s="12" t="s">
        <v>0</v>
      </c>
      <c r="B1" s="13" t="s">
        <v>1</v>
      </c>
      <c r="C1" s="13" t="s">
        <v>292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5" t="s">
        <v>8</v>
      </c>
      <c r="K1" s="22" t="s">
        <v>281</v>
      </c>
      <c r="L1" s="23"/>
    </row>
    <row r="2" spans="1:12" x14ac:dyDescent="0.35">
      <c r="A2" s="8" t="s">
        <v>9</v>
      </c>
      <c r="B2" s="11" t="s">
        <v>282</v>
      </c>
      <c r="C2" s="11" t="str">
        <f>RIGHT(Table1[[#This Row],[Employee ID]],4)</f>
        <v>1000</v>
      </c>
      <c r="D2" s="11" t="s">
        <v>293</v>
      </c>
      <c r="E2" s="11" t="s">
        <v>171</v>
      </c>
      <c r="F2" s="11" t="s">
        <v>177</v>
      </c>
      <c r="G2" s="11" t="s">
        <v>296</v>
      </c>
      <c r="H2" s="11">
        <v>2</v>
      </c>
      <c r="I2" s="11" t="s">
        <v>178</v>
      </c>
      <c r="J2" s="7" t="s">
        <v>182</v>
      </c>
      <c r="K2" s="16" t="s">
        <v>287</v>
      </c>
      <c r="L2" s="17">
        <f>AVERAGE(Table1[Performance Rating])</f>
        <v>2.8728533333333344</v>
      </c>
    </row>
    <row r="3" spans="1:12" x14ac:dyDescent="0.35">
      <c r="A3" s="3" t="s">
        <v>10</v>
      </c>
      <c r="B3" s="9" t="s">
        <v>159</v>
      </c>
      <c r="C3" s="9" t="str">
        <f>RIGHT(Table1[[#This Row],[Employee ID]],4)</f>
        <v>1001</v>
      </c>
      <c r="D3" s="9" t="s">
        <v>167</v>
      </c>
      <c r="E3" s="9" t="s">
        <v>172</v>
      </c>
      <c r="F3" s="9">
        <v>54255</v>
      </c>
      <c r="G3" s="9" t="s">
        <v>297</v>
      </c>
      <c r="H3" s="9">
        <v>1</v>
      </c>
      <c r="I3" s="9" t="s">
        <v>179</v>
      </c>
      <c r="J3" s="4" t="s">
        <v>183</v>
      </c>
      <c r="K3" s="18" t="s">
        <v>288</v>
      </c>
      <c r="L3" s="19">
        <f>SUM(Table1[Performance Rating])</f>
        <v>430.92800000000017</v>
      </c>
    </row>
    <row r="4" spans="1:12" x14ac:dyDescent="0.35">
      <c r="A4" s="3" t="s">
        <v>11</v>
      </c>
      <c r="B4" s="9" t="s">
        <v>160</v>
      </c>
      <c r="C4" s="9" t="str">
        <f>RIGHT(Table1[[#This Row],[Employee ID]],4)</f>
        <v>1002</v>
      </c>
      <c r="D4" s="9" t="s">
        <v>293</v>
      </c>
      <c r="E4" s="9" t="s">
        <v>172</v>
      </c>
      <c r="F4" s="9">
        <v>63184</v>
      </c>
      <c r="G4" s="9" t="s">
        <v>298</v>
      </c>
      <c r="H4" s="9">
        <v>2</v>
      </c>
      <c r="I4" s="9"/>
      <c r="J4" s="4" t="s">
        <v>184</v>
      </c>
      <c r="K4" s="18" t="s">
        <v>289</v>
      </c>
      <c r="L4" s="24">
        <f>MIN(Table1[Performance Rating])</f>
        <v>1</v>
      </c>
    </row>
    <row r="5" spans="1:12" x14ac:dyDescent="0.35">
      <c r="A5" s="3" t="s">
        <v>12</v>
      </c>
      <c r="B5" s="9" t="s">
        <v>161</v>
      </c>
      <c r="C5" s="9" t="str">
        <f>RIGHT(Table1[[#This Row],[Employee ID]],4)</f>
        <v>1003</v>
      </c>
      <c r="D5" s="9" t="s">
        <v>294</v>
      </c>
      <c r="E5" s="9" t="s">
        <v>173</v>
      </c>
      <c r="F5" s="9">
        <v>94406</v>
      </c>
      <c r="G5" s="9" t="s">
        <v>299</v>
      </c>
      <c r="H5" s="9">
        <v>1</v>
      </c>
      <c r="I5" s="9" t="s">
        <v>180</v>
      </c>
      <c r="J5" s="4" t="s">
        <v>185</v>
      </c>
      <c r="K5" s="18" t="s">
        <v>290</v>
      </c>
      <c r="L5" s="24">
        <f>MAX(Table1[Performance Rating])</f>
        <v>5</v>
      </c>
    </row>
    <row r="6" spans="1:12" ht="15" thickBot="1" x14ac:dyDescent="0.4">
      <c r="A6" s="3" t="s">
        <v>13</v>
      </c>
      <c r="B6" s="9" t="s">
        <v>162</v>
      </c>
      <c r="C6" s="9" t="str">
        <f>RIGHT(Table1[[#This Row],[Employee ID]],4)</f>
        <v>1004</v>
      </c>
      <c r="D6" s="9" t="s">
        <v>294</v>
      </c>
      <c r="E6" s="9" t="s">
        <v>172</v>
      </c>
      <c r="F6" s="9">
        <v>64120</v>
      </c>
      <c r="G6" s="9" t="s">
        <v>300</v>
      </c>
      <c r="H6" s="9">
        <v>1</v>
      </c>
      <c r="I6" s="9" t="s">
        <v>180</v>
      </c>
      <c r="J6" s="4" t="s">
        <v>186</v>
      </c>
      <c r="K6" s="20" t="s">
        <v>291</v>
      </c>
      <c r="L6" s="21">
        <f>COUNTA(Table1[Employee ID])</f>
        <v>150</v>
      </c>
    </row>
    <row r="7" spans="1:12" x14ac:dyDescent="0.35">
      <c r="A7" s="3" t="s">
        <v>14</v>
      </c>
      <c r="B7" s="9" t="s">
        <v>160</v>
      </c>
      <c r="C7" s="9" t="str">
        <f>RIGHT(Table1[[#This Row],[Employee ID]],4)</f>
        <v>1005</v>
      </c>
      <c r="D7" s="9" t="s">
        <v>169</v>
      </c>
      <c r="E7" s="9" t="s">
        <v>174</v>
      </c>
      <c r="F7" s="9">
        <v>78421</v>
      </c>
      <c r="G7" s="9" t="s">
        <v>301</v>
      </c>
      <c r="H7" s="9">
        <v>2</v>
      </c>
      <c r="I7" s="9" t="s">
        <v>181</v>
      </c>
      <c r="J7" s="4" t="s">
        <v>187</v>
      </c>
    </row>
    <row r="8" spans="1:12" ht="15" thickBot="1" x14ac:dyDescent="0.4">
      <c r="A8" s="3" t="s">
        <v>15</v>
      </c>
      <c r="B8" s="9" t="s">
        <v>163</v>
      </c>
      <c r="C8" s="9" t="str">
        <f>RIGHT(Table1[[#This Row],[Employee ID]],4)</f>
        <v>1006</v>
      </c>
      <c r="D8" s="9" t="s">
        <v>294</v>
      </c>
      <c r="E8" s="9"/>
      <c r="F8" s="9">
        <v>67721</v>
      </c>
      <c r="G8" s="9" t="s">
        <v>302</v>
      </c>
      <c r="H8" s="14">
        <v>2.8719999999999999</v>
      </c>
      <c r="I8" s="9" t="s">
        <v>180</v>
      </c>
      <c r="J8" s="4" t="s">
        <v>185</v>
      </c>
    </row>
    <row r="9" spans="1:12" ht="15" thickBot="1" x14ac:dyDescent="0.4">
      <c r="A9" s="3" t="s">
        <v>16</v>
      </c>
      <c r="B9" s="9" t="s">
        <v>164</v>
      </c>
      <c r="C9" s="9" t="str">
        <f>RIGHT(Table1[[#This Row],[Employee ID]],4)</f>
        <v>1007</v>
      </c>
      <c r="D9" s="9" t="s">
        <v>295</v>
      </c>
      <c r="E9" s="9"/>
      <c r="F9" s="9">
        <v>35364</v>
      </c>
      <c r="G9" s="9" t="s">
        <v>303</v>
      </c>
      <c r="H9" s="9">
        <v>2</v>
      </c>
      <c r="I9" s="9" t="s">
        <v>179</v>
      </c>
      <c r="J9" s="4" t="s">
        <v>188</v>
      </c>
      <c r="K9" s="27" t="s">
        <v>286</v>
      </c>
      <c r="L9" s="28"/>
    </row>
    <row r="10" spans="1:12" x14ac:dyDescent="0.35">
      <c r="A10" s="3" t="s">
        <v>17</v>
      </c>
      <c r="B10" s="9" t="s">
        <v>160</v>
      </c>
      <c r="C10" s="9" t="str">
        <f>RIGHT(Table1[[#This Row],[Employee ID]],4)</f>
        <v>1008</v>
      </c>
      <c r="D10" s="9" t="s">
        <v>169</v>
      </c>
      <c r="E10" s="9" t="s">
        <v>172</v>
      </c>
      <c r="F10" s="9">
        <v>97881</v>
      </c>
      <c r="G10" s="9" t="s">
        <v>304</v>
      </c>
      <c r="H10" s="14">
        <v>2.8719999999999999</v>
      </c>
      <c r="I10" s="9" t="s">
        <v>181</v>
      </c>
      <c r="J10" s="4" t="s">
        <v>189</v>
      </c>
      <c r="K10" s="16" t="s">
        <v>283</v>
      </c>
      <c r="L10" s="17">
        <f>AVERAGEIF(Table1[Department],"IT",Table1[Performance Rating])</f>
        <v>2.9241600000000001</v>
      </c>
    </row>
    <row r="11" spans="1:12" x14ac:dyDescent="0.35">
      <c r="A11" s="3" t="s">
        <v>18</v>
      </c>
      <c r="B11" s="9" t="s">
        <v>164</v>
      </c>
      <c r="C11" s="9" t="str">
        <f>RIGHT(Table1[[#This Row],[Employee ID]],4)</f>
        <v>1009</v>
      </c>
      <c r="D11" s="9" t="s">
        <v>167</v>
      </c>
      <c r="E11" s="9" t="s">
        <v>175</v>
      </c>
      <c r="F11" s="9">
        <v>91846</v>
      </c>
      <c r="G11" s="9" t="s">
        <v>305</v>
      </c>
      <c r="H11" s="14">
        <v>2.8719999999999999</v>
      </c>
      <c r="I11" s="9" t="s">
        <v>180</v>
      </c>
      <c r="J11" s="4" t="s">
        <v>190</v>
      </c>
      <c r="K11" s="18" t="s">
        <v>284</v>
      </c>
      <c r="L11" s="19">
        <f>SUMIF(Table1[Department],"sales",Table1[Performance Rating])</f>
        <v>71.616</v>
      </c>
    </row>
    <row r="12" spans="1:12" ht="15" thickBot="1" x14ac:dyDescent="0.4">
      <c r="A12" s="3" t="s">
        <v>19</v>
      </c>
      <c r="B12" s="9" t="s">
        <v>163</v>
      </c>
      <c r="C12" s="9" t="str">
        <f>RIGHT(Table1[[#This Row],[Employee ID]],4)</f>
        <v>1010</v>
      </c>
      <c r="D12" s="9" t="s">
        <v>293</v>
      </c>
      <c r="E12" s="9" t="s">
        <v>175</v>
      </c>
      <c r="F12" s="9">
        <v>64247</v>
      </c>
      <c r="G12" s="9" t="s">
        <v>306</v>
      </c>
      <c r="H12" s="9">
        <v>1</v>
      </c>
      <c r="I12" s="9" t="s">
        <v>181</v>
      </c>
      <c r="J12" s="4" t="s">
        <v>191</v>
      </c>
      <c r="K12" s="20" t="s">
        <v>285</v>
      </c>
      <c r="L12" s="21">
        <f>COUNTIF(Table1[Department],"HR")</f>
        <v>24</v>
      </c>
    </row>
    <row r="13" spans="1:12" x14ac:dyDescent="0.35">
      <c r="A13" s="3" t="s">
        <v>20</v>
      </c>
      <c r="B13" s="9" t="s">
        <v>163</v>
      </c>
      <c r="C13" s="9" t="str">
        <f>RIGHT(Table1[[#This Row],[Employee ID]],4)</f>
        <v>1011</v>
      </c>
      <c r="D13" s="9" t="s">
        <v>169</v>
      </c>
      <c r="E13" s="9" t="s">
        <v>173</v>
      </c>
      <c r="F13" s="9">
        <v>91180</v>
      </c>
      <c r="G13" s="9" t="s">
        <v>307</v>
      </c>
      <c r="H13" s="9">
        <v>5</v>
      </c>
      <c r="I13" s="9" t="s">
        <v>180</v>
      </c>
      <c r="J13" s="4" t="s">
        <v>192</v>
      </c>
    </row>
    <row r="14" spans="1:12" x14ac:dyDescent="0.35">
      <c r="A14" s="3" t="s">
        <v>21</v>
      </c>
      <c r="B14" s="9" t="s">
        <v>165</v>
      </c>
      <c r="C14" s="9" t="str">
        <f>RIGHT(Table1[[#This Row],[Employee ID]],4)</f>
        <v>1012</v>
      </c>
      <c r="D14" s="9" t="s">
        <v>294</v>
      </c>
      <c r="E14" s="9"/>
      <c r="F14" s="9">
        <v>96418</v>
      </c>
      <c r="G14" s="9" t="s">
        <v>308</v>
      </c>
      <c r="H14" s="9">
        <v>5</v>
      </c>
      <c r="I14" s="9" t="s">
        <v>180</v>
      </c>
      <c r="J14" s="4" t="s">
        <v>183</v>
      </c>
    </row>
    <row r="15" spans="1:12" x14ac:dyDescent="0.35">
      <c r="A15" s="3" t="s">
        <v>22</v>
      </c>
      <c r="B15" s="9" t="s">
        <v>163</v>
      </c>
      <c r="C15" s="9" t="str">
        <f>RIGHT(Table1[[#This Row],[Employee ID]],4)</f>
        <v>1013</v>
      </c>
      <c r="D15" s="9" t="s">
        <v>282</v>
      </c>
      <c r="E15" s="9" t="s">
        <v>174</v>
      </c>
      <c r="F15" s="9">
        <v>62158</v>
      </c>
      <c r="G15" s="9" t="s">
        <v>309</v>
      </c>
      <c r="H15" s="9">
        <v>4</v>
      </c>
      <c r="I15" s="9"/>
      <c r="J15" s="4" t="s">
        <v>193</v>
      </c>
    </row>
    <row r="16" spans="1:12" x14ac:dyDescent="0.35">
      <c r="A16" s="3" t="s">
        <v>23</v>
      </c>
      <c r="B16" s="9" t="s">
        <v>162</v>
      </c>
      <c r="C16" s="9" t="str">
        <f>RIGHT(Table1[[#This Row],[Employee ID]],4)</f>
        <v>1014</v>
      </c>
      <c r="D16" s="9" t="s">
        <v>167</v>
      </c>
      <c r="E16" s="9"/>
      <c r="F16" s="9">
        <v>59894</v>
      </c>
      <c r="G16" s="9" t="s">
        <v>310</v>
      </c>
      <c r="H16" s="9">
        <v>2</v>
      </c>
      <c r="I16" s="9" t="s">
        <v>180</v>
      </c>
      <c r="J16" s="4" t="s">
        <v>194</v>
      </c>
    </row>
    <row r="17" spans="1:10" x14ac:dyDescent="0.35">
      <c r="A17" s="3" t="s">
        <v>24</v>
      </c>
      <c r="B17" s="9" t="s">
        <v>282</v>
      </c>
      <c r="C17" s="9" t="str">
        <f>RIGHT(Table1[[#This Row],[Employee ID]],4)</f>
        <v>1015</v>
      </c>
      <c r="D17" s="9" t="s">
        <v>169</v>
      </c>
      <c r="E17" s="9" t="s">
        <v>174</v>
      </c>
      <c r="F17" s="9">
        <v>92443</v>
      </c>
      <c r="G17" s="9" t="s">
        <v>311</v>
      </c>
      <c r="H17" s="9">
        <v>3</v>
      </c>
      <c r="I17" s="9" t="s">
        <v>179</v>
      </c>
      <c r="J17" s="4" t="s">
        <v>195</v>
      </c>
    </row>
    <row r="18" spans="1:10" x14ac:dyDescent="0.35">
      <c r="A18" s="3" t="s">
        <v>25</v>
      </c>
      <c r="B18" s="9" t="s">
        <v>165</v>
      </c>
      <c r="C18" s="9" t="str">
        <f>RIGHT(Table1[[#This Row],[Employee ID]],4)</f>
        <v>1016</v>
      </c>
      <c r="D18" s="9" t="s">
        <v>282</v>
      </c>
      <c r="E18" s="9" t="s">
        <v>172</v>
      </c>
      <c r="F18" s="9">
        <v>90271</v>
      </c>
      <c r="G18" s="9" t="s">
        <v>312</v>
      </c>
      <c r="H18" s="14">
        <v>2.8719999999999999</v>
      </c>
      <c r="I18" s="9"/>
      <c r="J18" s="4" t="s">
        <v>196</v>
      </c>
    </row>
    <row r="19" spans="1:10" x14ac:dyDescent="0.35">
      <c r="A19" s="3" t="s">
        <v>26</v>
      </c>
      <c r="B19" s="9" t="s">
        <v>162</v>
      </c>
      <c r="C19" s="9" t="str">
        <f>RIGHT(Table1[[#This Row],[Employee ID]],4)</f>
        <v>1017</v>
      </c>
      <c r="D19" s="9" t="s">
        <v>293</v>
      </c>
      <c r="E19" s="9" t="s">
        <v>176</v>
      </c>
      <c r="F19" s="9">
        <v>41341</v>
      </c>
      <c r="G19" s="9" t="s">
        <v>313</v>
      </c>
      <c r="H19" s="9">
        <v>1</v>
      </c>
      <c r="I19" s="9" t="s">
        <v>179</v>
      </c>
      <c r="J19" s="4" t="s">
        <v>197</v>
      </c>
    </row>
    <row r="20" spans="1:10" x14ac:dyDescent="0.35">
      <c r="A20" s="3" t="s">
        <v>27</v>
      </c>
      <c r="B20" s="9" t="s">
        <v>160</v>
      </c>
      <c r="C20" s="9" t="str">
        <f>RIGHT(Table1[[#This Row],[Employee ID]],4)</f>
        <v>1018</v>
      </c>
      <c r="D20" s="9" t="s">
        <v>293</v>
      </c>
      <c r="E20" s="9" t="s">
        <v>175</v>
      </c>
      <c r="F20" s="9">
        <v>73602</v>
      </c>
      <c r="G20" s="9" t="s">
        <v>314</v>
      </c>
      <c r="H20" s="14">
        <v>2.8719999999999999</v>
      </c>
      <c r="I20" s="9"/>
      <c r="J20" s="4" t="s">
        <v>198</v>
      </c>
    </row>
    <row r="21" spans="1:10" x14ac:dyDescent="0.35">
      <c r="A21" s="3" t="s">
        <v>28</v>
      </c>
      <c r="B21" s="9" t="s">
        <v>159</v>
      </c>
      <c r="C21" s="9" t="str">
        <f>RIGHT(Table1[[#This Row],[Employee ID]],4)</f>
        <v>1019</v>
      </c>
      <c r="D21" s="9" t="s">
        <v>282</v>
      </c>
      <c r="E21" s="9" t="s">
        <v>174</v>
      </c>
      <c r="F21" s="9">
        <v>67531</v>
      </c>
      <c r="G21" s="9" t="s">
        <v>315</v>
      </c>
      <c r="H21" s="9">
        <v>5</v>
      </c>
      <c r="I21" s="9" t="s">
        <v>181</v>
      </c>
      <c r="J21" s="4" t="s">
        <v>199</v>
      </c>
    </row>
    <row r="22" spans="1:10" x14ac:dyDescent="0.35">
      <c r="A22" s="3" t="s">
        <v>29</v>
      </c>
      <c r="B22" s="9" t="s">
        <v>162</v>
      </c>
      <c r="C22" s="9" t="str">
        <f>RIGHT(Table1[[#This Row],[Employee ID]],4)</f>
        <v>1020</v>
      </c>
      <c r="D22" s="9" t="s">
        <v>167</v>
      </c>
      <c r="E22" s="9" t="s">
        <v>173</v>
      </c>
      <c r="F22" s="9" t="s">
        <v>177</v>
      </c>
      <c r="G22" s="9" t="s">
        <v>316</v>
      </c>
      <c r="H22" s="9">
        <v>2</v>
      </c>
      <c r="I22" s="9" t="s">
        <v>179</v>
      </c>
      <c r="J22" s="4" t="s">
        <v>200</v>
      </c>
    </row>
    <row r="23" spans="1:10" x14ac:dyDescent="0.35">
      <c r="A23" s="3" t="s">
        <v>30</v>
      </c>
      <c r="B23" s="9" t="s">
        <v>162</v>
      </c>
      <c r="C23" s="9" t="str">
        <f>RIGHT(Table1[[#This Row],[Employee ID]],4)</f>
        <v>1021</v>
      </c>
      <c r="D23" s="9" t="s">
        <v>167</v>
      </c>
      <c r="E23" s="9"/>
      <c r="F23" s="9">
        <v>98922</v>
      </c>
      <c r="G23" s="9" t="s">
        <v>317</v>
      </c>
      <c r="H23" s="9">
        <v>4</v>
      </c>
      <c r="I23" s="9"/>
      <c r="J23" s="4" t="s">
        <v>201</v>
      </c>
    </row>
    <row r="24" spans="1:10" x14ac:dyDescent="0.35">
      <c r="A24" s="3" t="s">
        <v>31</v>
      </c>
      <c r="B24" s="9" t="s">
        <v>159</v>
      </c>
      <c r="C24" s="9" t="str">
        <f>RIGHT(Table1[[#This Row],[Employee ID]],4)</f>
        <v>1022</v>
      </c>
      <c r="D24" s="9" t="s">
        <v>293</v>
      </c>
      <c r="E24" s="9" t="s">
        <v>174</v>
      </c>
      <c r="F24" s="9">
        <v>38333</v>
      </c>
      <c r="G24" s="9" t="s">
        <v>318</v>
      </c>
      <c r="H24" s="9">
        <v>5</v>
      </c>
      <c r="I24" s="9"/>
      <c r="J24" s="4" t="s">
        <v>202</v>
      </c>
    </row>
    <row r="25" spans="1:10" x14ac:dyDescent="0.35">
      <c r="A25" s="3" t="s">
        <v>32</v>
      </c>
      <c r="B25" s="9" t="s">
        <v>160</v>
      </c>
      <c r="C25" s="9" t="str">
        <f>RIGHT(Table1[[#This Row],[Employee ID]],4)</f>
        <v>1023</v>
      </c>
      <c r="D25" s="9" t="s">
        <v>295</v>
      </c>
      <c r="E25" s="9" t="s">
        <v>175</v>
      </c>
      <c r="F25" s="9">
        <v>36515</v>
      </c>
      <c r="G25" s="9" t="s">
        <v>319</v>
      </c>
      <c r="H25" s="9">
        <v>3</v>
      </c>
      <c r="I25" s="9" t="s">
        <v>180</v>
      </c>
      <c r="J25" s="4" t="s">
        <v>203</v>
      </c>
    </row>
    <row r="26" spans="1:10" x14ac:dyDescent="0.35">
      <c r="A26" s="3" t="s">
        <v>33</v>
      </c>
      <c r="B26" s="9" t="s">
        <v>163</v>
      </c>
      <c r="C26" s="9" t="str">
        <f>RIGHT(Table1[[#This Row],[Employee ID]],4)</f>
        <v>1024</v>
      </c>
      <c r="D26" s="9" t="s">
        <v>293</v>
      </c>
      <c r="E26" s="9"/>
      <c r="F26" s="9">
        <v>91005</v>
      </c>
      <c r="G26" s="9" t="s">
        <v>320</v>
      </c>
      <c r="H26" s="9">
        <v>1</v>
      </c>
      <c r="I26" s="9" t="s">
        <v>179</v>
      </c>
      <c r="J26" s="4" t="s">
        <v>204</v>
      </c>
    </row>
    <row r="27" spans="1:10" x14ac:dyDescent="0.35">
      <c r="A27" s="3" t="s">
        <v>34</v>
      </c>
      <c r="B27" s="9" t="s">
        <v>164</v>
      </c>
      <c r="C27" s="9" t="str">
        <f>RIGHT(Table1[[#This Row],[Employee ID]],4)</f>
        <v>1025</v>
      </c>
      <c r="D27" s="9" t="s">
        <v>282</v>
      </c>
      <c r="E27" s="9" t="s">
        <v>171</v>
      </c>
      <c r="F27" s="9">
        <v>52272</v>
      </c>
      <c r="G27" s="9" t="s">
        <v>321</v>
      </c>
      <c r="H27" s="9">
        <v>3</v>
      </c>
      <c r="I27" s="9"/>
      <c r="J27" s="4" t="s">
        <v>205</v>
      </c>
    </row>
    <row r="28" spans="1:10" x14ac:dyDescent="0.35">
      <c r="A28" s="3" t="s">
        <v>35</v>
      </c>
      <c r="B28" s="9" t="s">
        <v>159</v>
      </c>
      <c r="C28" s="9" t="str">
        <f>RIGHT(Table1[[#This Row],[Employee ID]],4)</f>
        <v>1026</v>
      </c>
      <c r="D28" s="9" t="s">
        <v>294</v>
      </c>
      <c r="E28" s="9" t="s">
        <v>172</v>
      </c>
      <c r="F28" s="9">
        <v>76518</v>
      </c>
      <c r="G28" s="9" t="s">
        <v>322</v>
      </c>
      <c r="H28" s="9">
        <v>2</v>
      </c>
      <c r="I28" s="9" t="s">
        <v>181</v>
      </c>
      <c r="J28" s="4" t="s">
        <v>206</v>
      </c>
    </row>
    <row r="29" spans="1:10" x14ac:dyDescent="0.35">
      <c r="A29" s="3" t="s">
        <v>36</v>
      </c>
      <c r="B29" s="9" t="s">
        <v>160</v>
      </c>
      <c r="C29" s="9" t="str">
        <f>RIGHT(Table1[[#This Row],[Employee ID]],4)</f>
        <v>1027</v>
      </c>
      <c r="D29" s="9" t="s">
        <v>169</v>
      </c>
      <c r="E29" s="9" t="s">
        <v>175</v>
      </c>
      <c r="F29" s="9">
        <v>41448</v>
      </c>
      <c r="G29" s="9" t="s">
        <v>323</v>
      </c>
      <c r="H29" s="9">
        <v>3</v>
      </c>
      <c r="I29" s="9" t="s">
        <v>179</v>
      </c>
      <c r="J29" s="4" t="s">
        <v>207</v>
      </c>
    </row>
    <row r="30" spans="1:10" x14ac:dyDescent="0.35">
      <c r="A30" s="3" t="s">
        <v>37</v>
      </c>
      <c r="B30" s="9" t="s">
        <v>161</v>
      </c>
      <c r="C30" s="9" t="str">
        <f>RIGHT(Table1[[#This Row],[Employee ID]],4)</f>
        <v>1028</v>
      </c>
      <c r="D30" s="9" t="s">
        <v>167</v>
      </c>
      <c r="E30" s="9" t="s">
        <v>175</v>
      </c>
      <c r="F30" s="9">
        <v>49282</v>
      </c>
      <c r="G30" s="9" t="s">
        <v>324</v>
      </c>
      <c r="H30" s="9">
        <v>2</v>
      </c>
      <c r="I30" s="9" t="s">
        <v>181</v>
      </c>
      <c r="J30" s="4" t="s">
        <v>208</v>
      </c>
    </row>
    <row r="31" spans="1:10" x14ac:dyDescent="0.35">
      <c r="A31" s="3" t="s">
        <v>38</v>
      </c>
      <c r="B31" s="9" t="s">
        <v>165</v>
      </c>
      <c r="C31" s="9" t="str">
        <f>RIGHT(Table1[[#This Row],[Employee ID]],4)</f>
        <v>1029</v>
      </c>
      <c r="D31" s="9" t="s">
        <v>295</v>
      </c>
      <c r="E31" s="9" t="s">
        <v>175</v>
      </c>
      <c r="F31" s="9">
        <v>92959</v>
      </c>
      <c r="G31" s="9" t="s">
        <v>325</v>
      </c>
      <c r="H31" s="9">
        <v>5</v>
      </c>
      <c r="I31" s="9"/>
      <c r="J31" s="4" t="s">
        <v>209</v>
      </c>
    </row>
    <row r="32" spans="1:10" x14ac:dyDescent="0.35">
      <c r="A32" s="3" t="s">
        <v>39</v>
      </c>
      <c r="B32" s="9" t="s">
        <v>282</v>
      </c>
      <c r="C32" s="9" t="str">
        <f>RIGHT(Table1[[#This Row],[Employee ID]],4)</f>
        <v>1030</v>
      </c>
      <c r="D32" s="9" t="s">
        <v>295</v>
      </c>
      <c r="E32" s="9"/>
      <c r="F32" s="9">
        <v>92259</v>
      </c>
      <c r="G32" s="9" t="s">
        <v>296</v>
      </c>
      <c r="H32" s="9">
        <v>1</v>
      </c>
      <c r="I32" s="9" t="s">
        <v>178</v>
      </c>
      <c r="J32" s="4" t="s">
        <v>210</v>
      </c>
    </row>
    <row r="33" spans="1:10" x14ac:dyDescent="0.35">
      <c r="A33" s="3" t="s">
        <v>40</v>
      </c>
      <c r="B33" s="9" t="s">
        <v>159</v>
      </c>
      <c r="C33" s="9" t="str">
        <f>RIGHT(Table1[[#This Row],[Employee ID]],4)</f>
        <v>1031</v>
      </c>
      <c r="D33" s="9" t="s">
        <v>167</v>
      </c>
      <c r="E33" s="9" t="s">
        <v>172</v>
      </c>
      <c r="F33" s="9">
        <v>92299</v>
      </c>
      <c r="G33" s="25" t="s">
        <v>326</v>
      </c>
      <c r="H33" s="9">
        <v>3</v>
      </c>
      <c r="I33" s="9" t="s">
        <v>180</v>
      </c>
      <c r="J33" s="4" t="s">
        <v>211</v>
      </c>
    </row>
    <row r="34" spans="1:10" x14ac:dyDescent="0.35">
      <c r="A34" s="3" t="s">
        <v>41</v>
      </c>
      <c r="B34" s="9" t="s">
        <v>163</v>
      </c>
      <c r="C34" s="9" t="str">
        <f>RIGHT(Table1[[#This Row],[Employee ID]],4)</f>
        <v>1032</v>
      </c>
      <c r="D34" s="9" t="s">
        <v>167</v>
      </c>
      <c r="E34" s="9"/>
      <c r="F34" s="9">
        <v>95586</v>
      </c>
      <c r="G34" s="25" t="s">
        <v>327</v>
      </c>
      <c r="H34" s="9">
        <v>3</v>
      </c>
      <c r="I34" s="9" t="s">
        <v>179</v>
      </c>
      <c r="J34" s="4" t="s">
        <v>212</v>
      </c>
    </row>
    <row r="35" spans="1:10" x14ac:dyDescent="0.35">
      <c r="A35" s="3" t="s">
        <v>42</v>
      </c>
      <c r="B35" s="9" t="s">
        <v>164</v>
      </c>
      <c r="C35" s="9" t="str">
        <f>RIGHT(Table1[[#This Row],[Employee ID]],4)</f>
        <v>1033</v>
      </c>
      <c r="D35" s="9" t="s">
        <v>282</v>
      </c>
      <c r="E35" s="9" t="s">
        <v>173</v>
      </c>
      <c r="F35" s="9">
        <v>95367</v>
      </c>
      <c r="G35" s="25" t="s">
        <v>328</v>
      </c>
      <c r="H35" s="14">
        <v>2.8719999999999999</v>
      </c>
      <c r="I35" s="9" t="s">
        <v>180</v>
      </c>
      <c r="J35" s="4" t="s">
        <v>213</v>
      </c>
    </row>
    <row r="36" spans="1:10" x14ac:dyDescent="0.35">
      <c r="A36" s="3" t="s">
        <v>43</v>
      </c>
      <c r="B36" s="9" t="s">
        <v>161</v>
      </c>
      <c r="C36" s="9" t="str">
        <f>RIGHT(Table1[[#This Row],[Employee ID]],4)</f>
        <v>1034</v>
      </c>
      <c r="D36" s="9" t="s">
        <v>294</v>
      </c>
      <c r="E36" s="9" t="s">
        <v>176</v>
      </c>
      <c r="F36" s="9">
        <v>79549</v>
      </c>
      <c r="G36" s="25" t="s">
        <v>329</v>
      </c>
      <c r="H36" s="9">
        <v>3</v>
      </c>
      <c r="I36" s="9"/>
      <c r="J36" s="4" t="s">
        <v>214</v>
      </c>
    </row>
    <row r="37" spans="1:10" x14ac:dyDescent="0.35">
      <c r="A37" s="3" t="s">
        <v>44</v>
      </c>
      <c r="B37" s="9" t="s">
        <v>160</v>
      </c>
      <c r="C37" s="9" t="str">
        <f>RIGHT(Table1[[#This Row],[Employee ID]],4)</f>
        <v>1035</v>
      </c>
      <c r="D37" s="9" t="s">
        <v>282</v>
      </c>
      <c r="E37" s="9" t="s">
        <v>175</v>
      </c>
      <c r="F37" s="9">
        <v>54463</v>
      </c>
      <c r="G37" s="25" t="s">
        <v>330</v>
      </c>
      <c r="H37" s="9">
        <v>4</v>
      </c>
      <c r="I37" s="9" t="s">
        <v>180</v>
      </c>
      <c r="J37" s="4" t="s">
        <v>182</v>
      </c>
    </row>
    <row r="38" spans="1:10" x14ac:dyDescent="0.35">
      <c r="A38" s="3" t="s">
        <v>45</v>
      </c>
      <c r="B38" s="9" t="s">
        <v>160</v>
      </c>
      <c r="C38" s="9" t="str">
        <f>RIGHT(Table1[[#This Row],[Employee ID]],4)</f>
        <v>1036</v>
      </c>
      <c r="D38" s="9" t="s">
        <v>169</v>
      </c>
      <c r="E38" s="9" t="s">
        <v>173</v>
      </c>
      <c r="F38" s="9">
        <v>89781</v>
      </c>
      <c r="G38" s="25" t="s">
        <v>331</v>
      </c>
      <c r="H38" s="14">
        <v>2.8719999999999999</v>
      </c>
      <c r="I38" s="9" t="s">
        <v>181</v>
      </c>
      <c r="J38" s="4" t="s">
        <v>215</v>
      </c>
    </row>
    <row r="39" spans="1:10" x14ac:dyDescent="0.35">
      <c r="A39" s="3" t="s">
        <v>46</v>
      </c>
      <c r="B39" s="9" t="s">
        <v>160</v>
      </c>
      <c r="C39" s="9" t="str">
        <f>RIGHT(Table1[[#This Row],[Employee ID]],4)</f>
        <v>1037</v>
      </c>
      <c r="D39" s="9" t="s">
        <v>167</v>
      </c>
      <c r="E39" s="9"/>
      <c r="F39" s="9">
        <v>64796</v>
      </c>
      <c r="G39" s="25" t="s">
        <v>332</v>
      </c>
      <c r="H39" s="14">
        <v>2.8719999999999999</v>
      </c>
      <c r="I39" s="9" t="s">
        <v>179</v>
      </c>
      <c r="J39" s="4" t="s">
        <v>216</v>
      </c>
    </row>
    <row r="40" spans="1:10" x14ac:dyDescent="0.35">
      <c r="A40" s="3" t="s">
        <v>47</v>
      </c>
      <c r="B40" s="9" t="s">
        <v>161</v>
      </c>
      <c r="C40" s="9" t="str">
        <f>RIGHT(Table1[[#This Row],[Employee ID]],4)</f>
        <v>1038</v>
      </c>
      <c r="D40" s="9" t="s">
        <v>295</v>
      </c>
      <c r="E40" s="9" t="s">
        <v>175</v>
      </c>
      <c r="F40" s="9">
        <v>52093</v>
      </c>
      <c r="G40" s="25" t="s">
        <v>333</v>
      </c>
      <c r="H40" s="9">
        <v>5</v>
      </c>
      <c r="I40" s="9"/>
      <c r="J40" s="4" t="s">
        <v>217</v>
      </c>
    </row>
    <row r="41" spans="1:10" x14ac:dyDescent="0.35">
      <c r="A41" s="3" t="s">
        <v>48</v>
      </c>
      <c r="B41" s="9" t="s">
        <v>164</v>
      </c>
      <c r="C41" s="9" t="str">
        <f>RIGHT(Table1[[#This Row],[Employee ID]],4)</f>
        <v>1039</v>
      </c>
      <c r="D41" s="9" t="s">
        <v>167</v>
      </c>
      <c r="E41" s="9" t="s">
        <v>175</v>
      </c>
      <c r="F41" s="9">
        <v>48224</v>
      </c>
      <c r="G41" s="25" t="s">
        <v>334</v>
      </c>
      <c r="H41" s="9">
        <v>3</v>
      </c>
      <c r="I41" s="9"/>
      <c r="J41" s="4" t="s">
        <v>218</v>
      </c>
    </row>
    <row r="42" spans="1:10" x14ac:dyDescent="0.35">
      <c r="A42" s="3" t="s">
        <v>49</v>
      </c>
      <c r="B42" s="9" t="s">
        <v>165</v>
      </c>
      <c r="C42" s="9" t="str">
        <f>RIGHT(Table1[[#This Row],[Employee ID]],4)</f>
        <v>1040</v>
      </c>
      <c r="D42" s="9" t="s">
        <v>293</v>
      </c>
      <c r="E42" s="9" t="s">
        <v>175</v>
      </c>
      <c r="F42" s="9" t="s">
        <v>177</v>
      </c>
      <c r="G42" s="9" t="s">
        <v>296</v>
      </c>
      <c r="H42" s="9">
        <v>4</v>
      </c>
      <c r="I42" s="9" t="s">
        <v>181</v>
      </c>
      <c r="J42" s="4" t="s">
        <v>219</v>
      </c>
    </row>
    <row r="43" spans="1:10" x14ac:dyDescent="0.35">
      <c r="A43" s="3" t="s">
        <v>50</v>
      </c>
      <c r="B43" s="9" t="s">
        <v>160</v>
      </c>
      <c r="C43" s="9" t="str">
        <f>RIGHT(Table1[[#This Row],[Employee ID]],4)</f>
        <v>1041</v>
      </c>
      <c r="D43" s="9" t="s">
        <v>169</v>
      </c>
      <c r="E43" s="9" t="s">
        <v>172</v>
      </c>
      <c r="F43" s="9">
        <v>33956</v>
      </c>
      <c r="G43" s="25" t="s">
        <v>335</v>
      </c>
      <c r="H43" s="14">
        <v>2.8719999999999999</v>
      </c>
      <c r="I43" s="9"/>
      <c r="J43" s="4" t="s">
        <v>220</v>
      </c>
    </row>
    <row r="44" spans="1:10" x14ac:dyDescent="0.35">
      <c r="A44" s="3" t="s">
        <v>51</v>
      </c>
      <c r="B44" s="9" t="s">
        <v>165</v>
      </c>
      <c r="C44" s="9" t="str">
        <f>RIGHT(Table1[[#This Row],[Employee ID]],4)</f>
        <v>1042</v>
      </c>
      <c r="D44" s="9" t="s">
        <v>282</v>
      </c>
      <c r="E44" s="9" t="s">
        <v>176</v>
      </c>
      <c r="F44" s="9">
        <v>64913</v>
      </c>
      <c r="G44" s="25" t="s">
        <v>336</v>
      </c>
      <c r="H44" s="9">
        <v>1</v>
      </c>
      <c r="I44" s="9" t="s">
        <v>181</v>
      </c>
      <c r="J44" s="4" t="s">
        <v>221</v>
      </c>
    </row>
    <row r="45" spans="1:10" x14ac:dyDescent="0.35">
      <c r="A45" s="3" t="s">
        <v>52</v>
      </c>
      <c r="B45" s="9" t="s">
        <v>160</v>
      </c>
      <c r="C45" s="9" t="str">
        <f>RIGHT(Table1[[#This Row],[Employee ID]],4)</f>
        <v>1043</v>
      </c>
      <c r="D45" s="9" t="s">
        <v>295</v>
      </c>
      <c r="E45" s="9" t="s">
        <v>176</v>
      </c>
      <c r="F45" s="9">
        <v>35326</v>
      </c>
      <c r="G45" s="25" t="s">
        <v>337</v>
      </c>
      <c r="H45" s="14">
        <v>2.8719999999999999</v>
      </c>
      <c r="I45" s="9" t="s">
        <v>181</v>
      </c>
      <c r="J45" s="4" t="s">
        <v>222</v>
      </c>
    </row>
    <row r="46" spans="1:10" x14ac:dyDescent="0.35">
      <c r="A46" s="3" t="s">
        <v>53</v>
      </c>
      <c r="B46" s="9" t="s">
        <v>164</v>
      </c>
      <c r="C46" s="9" t="str">
        <f>RIGHT(Table1[[#This Row],[Employee ID]],4)</f>
        <v>1044</v>
      </c>
      <c r="D46" s="9" t="s">
        <v>293</v>
      </c>
      <c r="E46" s="9"/>
      <c r="F46" s="9">
        <v>81610</v>
      </c>
      <c r="G46" s="25" t="s">
        <v>338</v>
      </c>
      <c r="H46" s="9">
        <v>1</v>
      </c>
      <c r="I46" s="9"/>
      <c r="J46" s="4" t="s">
        <v>223</v>
      </c>
    </row>
    <row r="47" spans="1:10" x14ac:dyDescent="0.35">
      <c r="A47" s="3" t="s">
        <v>54</v>
      </c>
      <c r="B47" s="9" t="s">
        <v>282</v>
      </c>
      <c r="C47" s="9" t="str">
        <f>RIGHT(Table1[[#This Row],[Employee ID]],4)</f>
        <v>1045</v>
      </c>
      <c r="D47" s="9" t="s">
        <v>167</v>
      </c>
      <c r="E47" s="9"/>
      <c r="F47" s="9">
        <v>58962</v>
      </c>
      <c r="G47" s="25" t="s">
        <v>339</v>
      </c>
      <c r="H47" s="9">
        <v>3</v>
      </c>
      <c r="I47" s="9" t="s">
        <v>179</v>
      </c>
      <c r="J47" s="4" t="s">
        <v>183</v>
      </c>
    </row>
    <row r="48" spans="1:10" x14ac:dyDescent="0.35">
      <c r="A48" s="3" t="s">
        <v>55</v>
      </c>
      <c r="B48" s="9" t="s">
        <v>164</v>
      </c>
      <c r="C48" s="9" t="str">
        <f>RIGHT(Table1[[#This Row],[Employee ID]],4)</f>
        <v>1046</v>
      </c>
      <c r="D48" s="9" t="s">
        <v>169</v>
      </c>
      <c r="E48" s="9" t="s">
        <v>172</v>
      </c>
      <c r="F48" s="9">
        <v>92701</v>
      </c>
      <c r="G48" s="25" t="s">
        <v>340</v>
      </c>
      <c r="H48" s="9">
        <v>3</v>
      </c>
      <c r="I48" s="9" t="s">
        <v>179</v>
      </c>
      <c r="J48" s="4" t="s">
        <v>224</v>
      </c>
    </row>
    <row r="49" spans="1:10" x14ac:dyDescent="0.35">
      <c r="A49" s="3" t="s">
        <v>56</v>
      </c>
      <c r="B49" s="9" t="s">
        <v>164</v>
      </c>
      <c r="C49" s="9" t="str">
        <f>RIGHT(Table1[[#This Row],[Employee ID]],4)</f>
        <v>1047</v>
      </c>
      <c r="D49" s="9" t="s">
        <v>167</v>
      </c>
      <c r="E49" s="9" t="s">
        <v>174</v>
      </c>
      <c r="F49" s="9">
        <v>58245</v>
      </c>
      <c r="G49" s="25" t="s">
        <v>341</v>
      </c>
      <c r="H49" s="9">
        <v>4</v>
      </c>
      <c r="I49" s="9"/>
      <c r="J49" s="4" t="s">
        <v>225</v>
      </c>
    </row>
    <row r="50" spans="1:10" x14ac:dyDescent="0.35">
      <c r="A50" s="3" t="s">
        <v>57</v>
      </c>
      <c r="B50" s="9" t="s">
        <v>161</v>
      </c>
      <c r="C50" s="9" t="str">
        <f>RIGHT(Table1[[#This Row],[Employee ID]],4)</f>
        <v>1048</v>
      </c>
      <c r="D50" s="9" t="s">
        <v>293</v>
      </c>
      <c r="E50" s="9"/>
      <c r="F50" s="9">
        <v>66513</v>
      </c>
      <c r="G50" s="25" t="s">
        <v>342</v>
      </c>
      <c r="H50" s="9">
        <v>2</v>
      </c>
      <c r="I50" s="9" t="s">
        <v>179</v>
      </c>
      <c r="J50" s="4" t="s">
        <v>187</v>
      </c>
    </row>
    <row r="51" spans="1:10" x14ac:dyDescent="0.35">
      <c r="A51" s="3" t="s">
        <v>58</v>
      </c>
      <c r="B51" s="9" t="s">
        <v>159</v>
      </c>
      <c r="C51" s="9" t="str">
        <f>RIGHT(Table1[[#This Row],[Employee ID]],4)</f>
        <v>1049</v>
      </c>
      <c r="D51" s="9" t="s">
        <v>167</v>
      </c>
      <c r="E51" s="9" t="s">
        <v>172</v>
      </c>
      <c r="F51" s="9">
        <v>78720</v>
      </c>
      <c r="G51" s="25" t="s">
        <v>343</v>
      </c>
      <c r="H51" s="9">
        <v>5</v>
      </c>
      <c r="I51" s="9" t="s">
        <v>181</v>
      </c>
      <c r="J51" s="4" t="s">
        <v>219</v>
      </c>
    </row>
    <row r="52" spans="1:10" x14ac:dyDescent="0.35">
      <c r="A52" s="3" t="s">
        <v>59</v>
      </c>
      <c r="B52" s="9" t="s">
        <v>164</v>
      </c>
      <c r="C52" s="9" t="str">
        <f>RIGHT(Table1[[#This Row],[Employee ID]],4)</f>
        <v>1050</v>
      </c>
      <c r="D52" s="9" t="s">
        <v>282</v>
      </c>
      <c r="E52" s="9" t="s">
        <v>171</v>
      </c>
      <c r="F52" s="9">
        <v>30686</v>
      </c>
      <c r="G52" s="9" t="s">
        <v>296</v>
      </c>
      <c r="H52" s="9">
        <v>2</v>
      </c>
      <c r="I52" s="9" t="s">
        <v>181</v>
      </c>
      <c r="J52" s="4" t="s">
        <v>226</v>
      </c>
    </row>
    <row r="53" spans="1:10" x14ac:dyDescent="0.35">
      <c r="A53" s="3" t="s">
        <v>60</v>
      </c>
      <c r="B53" s="9" t="s">
        <v>163</v>
      </c>
      <c r="C53" s="9" t="str">
        <f>RIGHT(Table1[[#This Row],[Employee ID]],4)</f>
        <v>1051</v>
      </c>
      <c r="D53" s="9" t="s">
        <v>294</v>
      </c>
      <c r="E53" s="9" t="s">
        <v>174</v>
      </c>
      <c r="F53" s="9">
        <v>39423</v>
      </c>
      <c r="G53" s="25" t="s">
        <v>344</v>
      </c>
      <c r="H53" s="9">
        <v>5</v>
      </c>
      <c r="I53" s="9"/>
      <c r="J53" s="4" t="s">
        <v>227</v>
      </c>
    </row>
    <row r="54" spans="1:10" x14ac:dyDescent="0.35">
      <c r="A54" s="3" t="s">
        <v>61</v>
      </c>
      <c r="B54" s="9" t="s">
        <v>159</v>
      </c>
      <c r="C54" s="9" t="str">
        <f>RIGHT(Table1[[#This Row],[Employee ID]],4)</f>
        <v>1052</v>
      </c>
      <c r="D54" s="9" t="s">
        <v>295</v>
      </c>
      <c r="E54" s="9"/>
      <c r="F54" s="9">
        <v>30280</v>
      </c>
      <c r="G54" s="25" t="s">
        <v>345</v>
      </c>
      <c r="H54" s="9">
        <v>1</v>
      </c>
      <c r="I54" s="9"/>
      <c r="J54" s="4" t="s">
        <v>228</v>
      </c>
    </row>
    <row r="55" spans="1:10" x14ac:dyDescent="0.35">
      <c r="A55" s="3" t="s">
        <v>62</v>
      </c>
      <c r="B55" s="9" t="s">
        <v>159</v>
      </c>
      <c r="C55" s="9" t="str">
        <f>RIGHT(Table1[[#This Row],[Employee ID]],4)</f>
        <v>1053</v>
      </c>
      <c r="D55" s="9" t="s">
        <v>293</v>
      </c>
      <c r="E55" s="9" t="s">
        <v>175</v>
      </c>
      <c r="F55" s="9">
        <v>33352</v>
      </c>
      <c r="G55" s="25" t="s">
        <v>346</v>
      </c>
      <c r="H55" s="9">
        <v>3</v>
      </c>
      <c r="I55" s="9" t="s">
        <v>181</v>
      </c>
      <c r="J55" s="4" t="s">
        <v>200</v>
      </c>
    </row>
    <row r="56" spans="1:10" x14ac:dyDescent="0.35">
      <c r="A56" s="3" t="s">
        <v>63</v>
      </c>
      <c r="B56" s="9" t="s">
        <v>165</v>
      </c>
      <c r="C56" s="9" t="str">
        <f>RIGHT(Table1[[#This Row],[Employee ID]],4)</f>
        <v>1054</v>
      </c>
      <c r="D56" s="9" t="s">
        <v>295</v>
      </c>
      <c r="E56" s="9" t="s">
        <v>175</v>
      </c>
      <c r="F56" s="9">
        <v>75633</v>
      </c>
      <c r="G56" s="25" t="s">
        <v>347</v>
      </c>
      <c r="H56" s="9">
        <v>5</v>
      </c>
      <c r="I56" s="9" t="s">
        <v>179</v>
      </c>
      <c r="J56" s="4" t="s">
        <v>229</v>
      </c>
    </row>
    <row r="57" spans="1:10" x14ac:dyDescent="0.35">
      <c r="A57" s="3" t="s">
        <v>64</v>
      </c>
      <c r="B57" s="9" t="s">
        <v>164</v>
      </c>
      <c r="C57" s="9" t="str">
        <f>RIGHT(Table1[[#This Row],[Employee ID]],4)</f>
        <v>1055</v>
      </c>
      <c r="D57" s="9" t="s">
        <v>282</v>
      </c>
      <c r="E57" s="9" t="s">
        <v>173</v>
      </c>
      <c r="F57" s="9">
        <v>74815</v>
      </c>
      <c r="G57" s="25" t="s">
        <v>348</v>
      </c>
      <c r="H57" s="9">
        <v>5</v>
      </c>
      <c r="I57" s="9" t="s">
        <v>181</v>
      </c>
      <c r="J57" s="4" t="s">
        <v>230</v>
      </c>
    </row>
    <row r="58" spans="1:10" x14ac:dyDescent="0.35">
      <c r="A58" s="3" t="s">
        <v>65</v>
      </c>
      <c r="B58" s="9" t="s">
        <v>161</v>
      </c>
      <c r="C58" s="9" t="str">
        <f>RIGHT(Table1[[#This Row],[Employee ID]],4)</f>
        <v>1056</v>
      </c>
      <c r="D58" s="9" t="s">
        <v>294</v>
      </c>
      <c r="E58" s="9" t="s">
        <v>176</v>
      </c>
      <c r="F58" s="9">
        <v>60011</v>
      </c>
      <c r="G58" s="25" t="s">
        <v>349</v>
      </c>
      <c r="H58" s="9">
        <v>1</v>
      </c>
      <c r="I58" s="9" t="s">
        <v>180</v>
      </c>
      <c r="J58" s="4" t="s">
        <v>231</v>
      </c>
    </row>
    <row r="59" spans="1:10" x14ac:dyDescent="0.35">
      <c r="A59" s="3" t="s">
        <v>66</v>
      </c>
      <c r="B59" s="9" t="s">
        <v>159</v>
      </c>
      <c r="C59" s="9" t="str">
        <f>RIGHT(Table1[[#This Row],[Employee ID]],4)</f>
        <v>1057</v>
      </c>
      <c r="D59" s="9" t="s">
        <v>282</v>
      </c>
      <c r="E59" s="9" t="s">
        <v>174</v>
      </c>
      <c r="F59" s="9">
        <v>96949</v>
      </c>
      <c r="G59" s="25" t="s">
        <v>350</v>
      </c>
      <c r="H59" s="9">
        <v>3</v>
      </c>
      <c r="I59" s="9"/>
      <c r="J59" s="4" t="s">
        <v>207</v>
      </c>
    </row>
    <row r="60" spans="1:10" x14ac:dyDescent="0.35">
      <c r="A60" s="3" t="s">
        <v>67</v>
      </c>
      <c r="B60" s="9" t="s">
        <v>163</v>
      </c>
      <c r="C60" s="9" t="str">
        <f>RIGHT(Table1[[#This Row],[Employee ID]],4)</f>
        <v>1058</v>
      </c>
      <c r="D60" s="9" t="s">
        <v>295</v>
      </c>
      <c r="E60" s="9"/>
      <c r="F60" s="9">
        <v>84924</v>
      </c>
      <c r="G60" s="25" t="s">
        <v>351</v>
      </c>
      <c r="H60" s="9">
        <v>5</v>
      </c>
      <c r="I60" s="9" t="s">
        <v>180</v>
      </c>
      <c r="J60" s="4" t="s">
        <v>232</v>
      </c>
    </row>
    <row r="61" spans="1:10" x14ac:dyDescent="0.35">
      <c r="A61" s="3" t="s">
        <v>68</v>
      </c>
      <c r="B61" s="9" t="s">
        <v>163</v>
      </c>
      <c r="C61" s="9" t="str">
        <f>RIGHT(Table1[[#This Row],[Employee ID]],4)</f>
        <v>1059</v>
      </c>
      <c r="D61" s="9" t="s">
        <v>293</v>
      </c>
      <c r="E61" s="9" t="s">
        <v>173</v>
      </c>
      <c r="F61" s="9">
        <v>82033</v>
      </c>
      <c r="G61" s="25" t="s">
        <v>352</v>
      </c>
      <c r="H61" s="9">
        <v>1</v>
      </c>
      <c r="I61" s="9"/>
      <c r="J61" s="4" t="s">
        <v>223</v>
      </c>
    </row>
    <row r="62" spans="1:10" x14ac:dyDescent="0.35">
      <c r="A62" s="3" t="s">
        <v>69</v>
      </c>
      <c r="B62" s="9" t="s">
        <v>282</v>
      </c>
      <c r="C62" s="9" t="str">
        <f>RIGHT(Table1[[#This Row],[Employee ID]],4)</f>
        <v>1060</v>
      </c>
      <c r="D62" s="9" t="s">
        <v>295</v>
      </c>
      <c r="E62" s="9" t="s">
        <v>172</v>
      </c>
      <c r="F62" s="9" t="s">
        <v>177</v>
      </c>
      <c r="G62" s="9" t="s">
        <v>296</v>
      </c>
      <c r="H62" s="9">
        <v>5</v>
      </c>
      <c r="I62" s="9" t="s">
        <v>178</v>
      </c>
      <c r="J62" s="4" t="s">
        <v>233</v>
      </c>
    </row>
    <row r="63" spans="1:10" x14ac:dyDescent="0.35">
      <c r="A63" s="3" t="s">
        <v>70</v>
      </c>
      <c r="B63" s="9" t="s">
        <v>159</v>
      </c>
      <c r="C63" s="9" t="str">
        <f>RIGHT(Table1[[#This Row],[Employee ID]],4)</f>
        <v>1061</v>
      </c>
      <c r="D63" s="9" t="s">
        <v>282</v>
      </c>
      <c r="E63" s="9" t="s">
        <v>176</v>
      </c>
      <c r="F63" s="9">
        <v>31499</v>
      </c>
      <c r="G63" s="25" t="s">
        <v>353</v>
      </c>
      <c r="H63" s="9">
        <v>2</v>
      </c>
      <c r="I63" s="9"/>
      <c r="J63" s="4" t="s">
        <v>215</v>
      </c>
    </row>
    <row r="64" spans="1:10" x14ac:dyDescent="0.35">
      <c r="A64" s="3" t="s">
        <v>71</v>
      </c>
      <c r="B64" s="9" t="s">
        <v>164</v>
      </c>
      <c r="C64" s="9" t="str">
        <f>RIGHT(Table1[[#This Row],[Employee ID]],4)</f>
        <v>1062</v>
      </c>
      <c r="D64" s="9" t="s">
        <v>169</v>
      </c>
      <c r="E64" s="9" t="s">
        <v>175</v>
      </c>
      <c r="F64" s="9">
        <v>97981</v>
      </c>
      <c r="G64" s="25" t="s">
        <v>354</v>
      </c>
      <c r="H64" s="9">
        <v>5</v>
      </c>
      <c r="I64" s="9" t="s">
        <v>181</v>
      </c>
      <c r="J64" s="4" t="s">
        <v>234</v>
      </c>
    </row>
    <row r="65" spans="1:10" x14ac:dyDescent="0.35">
      <c r="A65" s="3" t="s">
        <v>72</v>
      </c>
      <c r="B65" s="9" t="s">
        <v>159</v>
      </c>
      <c r="C65" s="9" t="str">
        <f>RIGHT(Table1[[#This Row],[Employee ID]],4)</f>
        <v>1063</v>
      </c>
      <c r="D65" s="9" t="s">
        <v>167</v>
      </c>
      <c r="E65" s="9" t="s">
        <v>173</v>
      </c>
      <c r="F65" s="9">
        <v>36541</v>
      </c>
      <c r="G65" s="25" t="s">
        <v>355</v>
      </c>
      <c r="H65" s="9">
        <v>2</v>
      </c>
      <c r="I65" s="9" t="s">
        <v>179</v>
      </c>
      <c r="J65" s="4" t="s">
        <v>235</v>
      </c>
    </row>
    <row r="66" spans="1:10" x14ac:dyDescent="0.35">
      <c r="A66" s="3" t="s">
        <v>73</v>
      </c>
      <c r="B66" s="9" t="s">
        <v>161</v>
      </c>
      <c r="C66" s="9" t="str">
        <f>RIGHT(Table1[[#This Row],[Employee ID]],4)</f>
        <v>1064</v>
      </c>
      <c r="D66" s="9" t="s">
        <v>169</v>
      </c>
      <c r="E66" s="9" t="s">
        <v>174</v>
      </c>
      <c r="F66" s="9">
        <v>84737</v>
      </c>
      <c r="G66" s="25" t="s">
        <v>356</v>
      </c>
      <c r="H66" s="9">
        <v>1</v>
      </c>
      <c r="I66" s="9" t="s">
        <v>180</v>
      </c>
      <c r="J66" s="4" t="s">
        <v>236</v>
      </c>
    </row>
    <row r="67" spans="1:10" x14ac:dyDescent="0.35">
      <c r="A67" s="3" t="s">
        <v>74</v>
      </c>
      <c r="B67" s="9" t="s">
        <v>163</v>
      </c>
      <c r="C67" s="9" t="str">
        <f>RIGHT(Table1[[#This Row],[Employee ID]],4)</f>
        <v>1065</v>
      </c>
      <c r="D67" s="9" t="s">
        <v>293</v>
      </c>
      <c r="E67" s="9" t="s">
        <v>174</v>
      </c>
      <c r="F67" s="9">
        <v>33468</v>
      </c>
      <c r="G67" s="25" t="s">
        <v>357</v>
      </c>
      <c r="H67" s="9">
        <v>4</v>
      </c>
      <c r="I67" s="9" t="s">
        <v>180</v>
      </c>
      <c r="J67" s="4" t="s">
        <v>237</v>
      </c>
    </row>
    <row r="68" spans="1:10" x14ac:dyDescent="0.35">
      <c r="A68" s="3" t="s">
        <v>75</v>
      </c>
      <c r="B68" s="9" t="s">
        <v>163</v>
      </c>
      <c r="C68" s="9" t="str">
        <f>RIGHT(Table1[[#This Row],[Employee ID]],4)</f>
        <v>1066</v>
      </c>
      <c r="D68" s="9" t="s">
        <v>282</v>
      </c>
      <c r="E68" s="9" t="s">
        <v>176</v>
      </c>
      <c r="F68" s="9">
        <v>96365</v>
      </c>
      <c r="G68" s="25" t="s">
        <v>358</v>
      </c>
      <c r="H68" s="9">
        <v>3</v>
      </c>
      <c r="I68" s="9" t="s">
        <v>179</v>
      </c>
      <c r="J68" s="4" t="s">
        <v>238</v>
      </c>
    </row>
    <row r="69" spans="1:10" x14ac:dyDescent="0.35">
      <c r="A69" s="3" t="s">
        <v>76</v>
      </c>
      <c r="B69" s="9" t="s">
        <v>160</v>
      </c>
      <c r="C69" s="9" t="str">
        <f>RIGHT(Table1[[#This Row],[Employee ID]],4)</f>
        <v>1067</v>
      </c>
      <c r="D69" s="9" t="s">
        <v>294</v>
      </c>
      <c r="E69" s="9" t="s">
        <v>174</v>
      </c>
      <c r="F69" s="9">
        <v>61942</v>
      </c>
      <c r="G69" s="25" t="s">
        <v>359</v>
      </c>
      <c r="H69" s="9">
        <v>3</v>
      </c>
      <c r="I69" s="9" t="s">
        <v>181</v>
      </c>
      <c r="J69" s="4" t="s">
        <v>239</v>
      </c>
    </row>
    <row r="70" spans="1:10" x14ac:dyDescent="0.35">
      <c r="A70" s="3" t="s">
        <v>77</v>
      </c>
      <c r="B70" s="9" t="s">
        <v>163</v>
      </c>
      <c r="C70" s="9" t="str">
        <f>RIGHT(Table1[[#This Row],[Employee ID]],4)</f>
        <v>1068</v>
      </c>
      <c r="D70" s="9" t="s">
        <v>293</v>
      </c>
      <c r="E70" s="9" t="s">
        <v>175</v>
      </c>
      <c r="F70" s="9">
        <v>41467</v>
      </c>
      <c r="G70" s="25" t="s">
        <v>360</v>
      </c>
      <c r="H70" s="9">
        <v>2</v>
      </c>
      <c r="I70" s="9"/>
      <c r="J70" s="4" t="s">
        <v>201</v>
      </c>
    </row>
    <row r="71" spans="1:10" x14ac:dyDescent="0.35">
      <c r="A71" s="3" t="s">
        <v>78</v>
      </c>
      <c r="B71" s="9" t="s">
        <v>165</v>
      </c>
      <c r="C71" s="9" t="str">
        <f>RIGHT(Table1[[#This Row],[Employee ID]],4)</f>
        <v>1069</v>
      </c>
      <c r="D71" s="9" t="s">
        <v>293</v>
      </c>
      <c r="E71" s="9" t="s">
        <v>174</v>
      </c>
      <c r="F71" s="9">
        <v>77096</v>
      </c>
      <c r="G71" s="25" t="s">
        <v>361</v>
      </c>
      <c r="H71" s="9">
        <v>1</v>
      </c>
      <c r="I71" s="9"/>
      <c r="J71" s="4" t="s">
        <v>240</v>
      </c>
    </row>
    <row r="72" spans="1:10" x14ac:dyDescent="0.35">
      <c r="A72" s="3" t="s">
        <v>79</v>
      </c>
      <c r="B72" s="9" t="s">
        <v>159</v>
      </c>
      <c r="C72" s="9" t="str">
        <f>RIGHT(Table1[[#This Row],[Employee ID]],4)</f>
        <v>1070</v>
      </c>
      <c r="D72" s="9" t="s">
        <v>294</v>
      </c>
      <c r="E72" s="9" t="s">
        <v>176</v>
      </c>
      <c r="F72" s="9">
        <v>69952</v>
      </c>
      <c r="G72" s="25" t="s">
        <v>362</v>
      </c>
      <c r="H72" s="9">
        <v>5</v>
      </c>
      <c r="I72" s="9" t="s">
        <v>181</v>
      </c>
      <c r="J72" s="4" t="s">
        <v>182</v>
      </c>
    </row>
    <row r="73" spans="1:10" x14ac:dyDescent="0.35">
      <c r="A73" s="3" t="s">
        <v>80</v>
      </c>
      <c r="B73" s="9" t="s">
        <v>159</v>
      </c>
      <c r="C73" s="9" t="str">
        <f>RIGHT(Table1[[#This Row],[Employee ID]],4)</f>
        <v>1071</v>
      </c>
      <c r="D73" s="9" t="s">
        <v>295</v>
      </c>
      <c r="E73" s="9" t="s">
        <v>173</v>
      </c>
      <c r="F73" s="9">
        <v>85065</v>
      </c>
      <c r="G73" s="25" t="s">
        <v>363</v>
      </c>
      <c r="H73" s="9">
        <v>3</v>
      </c>
      <c r="I73" s="9"/>
      <c r="J73" s="4" t="s">
        <v>241</v>
      </c>
    </row>
    <row r="74" spans="1:10" x14ac:dyDescent="0.35">
      <c r="A74" s="3" t="s">
        <v>81</v>
      </c>
      <c r="B74" s="9" t="s">
        <v>165</v>
      </c>
      <c r="C74" s="9" t="str">
        <f>RIGHT(Table1[[#This Row],[Employee ID]],4)</f>
        <v>1072</v>
      </c>
      <c r="D74" s="9" t="s">
        <v>295</v>
      </c>
      <c r="E74" s="9" t="s">
        <v>174</v>
      </c>
      <c r="F74" s="9">
        <v>56512</v>
      </c>
      <c r="G74" s="25" t="s">
        <v>364</v>
      </c>
      <c r="H74" s="14">
        <v>2.8719999999999999</v>
      </c>
      <c r="I74" s="9" t="s">
        <v>179</v>
      </c>
      <c r="J74" s="4" t="s">
        <v>190</v>
      </c>
    </row>
    <row r="75" spans="1:10" x14ac:dyDescent="0.35">
      <c r="A75" s="3" t="s">
        <v>82</v>
      </c>
      <c r="B75" s="9" t="s">
        <v>161</v>
      </c>
      <c r="C75" s="9" t="str">
        <f>RIGHT(Table1[[#This Row],[Employee ID]],4)</f>
        <v>1073</v>
      </c>
      <c r="D75" s="9" t="s">
        <v>294</v>
      </c>
      <c r="E75" s="9" t="s">
        <v>174</v>
      </c>
      <c r="F75" s="9">
        <v>91101</v>
      </c>
      <c r="G75" s="25" t="s">
        <v>365</v>
      </c>
      <c r="H75" s="9">
        <v>4</v>
      </c>
      <c r="I75" s="9" t="s">
        <v>181</v>
      </c>
      <c r="J75" s="4" t="s">
        <v>234</v>
      </c>
    </row>
    <row r="76" spans="1:10" x14ac:dyDescent="0.35">
      <c r="A76" s="3" t="s">
        <v>83</v>
      </c>
      <c r="B76" s="9" t="s">
        <v>163</v>
      </c>
      <c r="C76" s="9" t="str">
        <f>RIGHT(Table1[[#This Row],[Employee ID]],4)</f>
        <v>1074</v>
      </c>
      <c r="D76" s="9" t="s">
        <v>282</v>
      </c>
      <c r="E76" s="9" t="s">
        <v>172</v>
      </c>
      <c r="F76" s="9">
        <v>41243</v>
      </c>
      <c r="G76" s="25" t="s">
        <v>366</v>
      </c>
      <c r="H76" s="14">
        <v>2.8719999999999999</v>
      </c>
      <c r="I76" s="9"/>
      <c r="J76" s="4" t="s">
        <v>211</v>
      </c>
    </row>
    <row r="77" spans="1:10" x14ac:dyDescent="0.35">
      <c r="A77" s="3" t="s">
        <v>84</v>
      </c>
      <c r="B77" s="9" t="s">
        <v>282</v>
      </c>
      <c r="C77" s="9" t="str">
        <f>RIGHT(Table1[[#This Row],[Employee ID]],4)</f>
        <v>1075</v>
      </c>
      <c r="D77" s="9" t="s">
        <v>294</v>
      </c>
      <c r="E77" s="9" t="s">
        <v>171</v>
      </c>
      <c r="F77" s="9">
        <v>96142</v>
      </c>
      <c r="G77" s="25" t="s">
        <v>367</v>
      </c>
      <c r="H77" s="9">
        <v>1</v>
      </c>
      <c r="I77" s="9" t="s">
        <v>179</v>
      </c>
      <c r="J77" s="4" t="s">
        <v>242</v>
      </c>
    </row>
    <row r="78" spans="1:10" x14ac:dyDescent="0.35">
      <c r="A78" s="3" t="s">
        <v>85</v>
      </c>
      <c r="B78" s="9" t="s">
        <v>159</v>
      </c>
      <c r="C78" s="9" t="str">
        <f>RIGHT(Table1[[#This Row],[Employee ID]],4)</f>
        <v>1076</v>
      </c>
      <c r="D78" s="9" t="s">
        <v>169</v>
      </c>
      <c r="E78" s="9" t="s">
        <v>174</v>
      </c>
      <c r="F78" s="9">
        <v>94301</v>
      </c>
      <c r="G78" s="25" t="s">
        <v>368</v>
      </c>
      <c r="H78" s="9">
        <v>1</v>
      </c>
      <c r="I78" s="9" t="s">
        <v>180</v>
      </c>
      <c r="J78" s="4" t="s">
        <v>223</v>
      </c>
    </row>
    <row r="79" spans="1:10" x14ac:dyDescent="0.35">
      <c r="A79" s="3" t="s">
        <v>86</v>
      </c>
      <c r="B79" s="9" t="s">
        <v>162</v>
      </c>
      <c r="C79" s="9" t="str">
        <f>RIGHT(Table1[[#This Row],[Employee ID]],4)</f>
        <v>1077</v>
      </c>
      <c r="D79" s="9" t="s">
        <v>282</v>
      </c>
      <c r="E79" s="9" t="s">
        <v>175</v>
      </c>
      <c r="F79" s="9">
        <v>69166</v>
      </c>
      <c r="G79" s="25" t="s">
        <v>369</v>
      </c>
      <c r="H79" s="9">
        <v>1</v>
      </c>
      <c r="I79" s="9" t="s">
        <v>181</v>
      </c>
      <c r="J79" s="4" t="s">
        <v>243</v>
      </c>
    </row>
    <row r="80" spans="1:10" x14ac:dyDescent="0.35">
      <c r="A80" s="3" t="s">
        <v>87</v>
      </c>
      <c r="B80" s="9" t="s">
        <v>163</v>
      </c>
      <c r="C80" s="9" t="str">
        <f>RIGHT(Table1[[#This Row],[Employee ID]],4)</f>
        <v>1078</v>
      </c>
      <c r="D80" s="9" t="s">
        <v>282</v>
      </c>
      <c r="E80" s="9" t="s">
        <v>175</v>
      </c>
      <c r="F80" s="9">
        <v>78245</v>
      </c>
      <c r="G80" s="25" t="s">
        <v>370</v>
      </c>
      <c r="H80" s="9">
        <v>2</v>
      </c>
      <c r="I80" s="9"/>
      <c r="J80" s="4" t="s">
        <v>244</v>
      </c>
    </row>
    <row r="81" spans="1:10" x14ac:dyDescent="0.35">
      <c r="A81" s="3" t="s">
        <v>88</v>
      </c>
      <c r="B81" s="9" t="s">
        <v>164</v>
      </c>
      <c r="C81" s="9" t="str">
        <f>RIGHT(Table1[[#This Row],[Employee ID]],4)</f>
        <v>1079</v>
      </c>
      <c r="D81" s="9" t="s">
        <v>294</v>
      </c>
      <c r="E81" s="9" t="s">
        <v>173</v>
      </c>
      <c r="F81" s="9">
        <v>66079</v>
      </c>
      <c r="G81" s="25" t="s">
        <v>371</v>
      </c>
      <c r="H81" s="9">
        <v>2</v>
      </c>
      <c r="I81" s="9" t="s">
        <v>179</v>
      </c>
      <c r="J81" s="4" t="s">
        <v>245</v>
      </c>
    </row>
    <row r="82" spans="1:10" x14ac:dyDescent="0.35">
      <c r="A82" s="3" t="s">
        <v>89</v>
      </c>
      <c r="B82" s="9" t="s">
        <v>159</v>
      </c>
      <c r="C82" s="9" t="str">
        <f>RIGHT(Table1[[#This Row],[Employee ID]],4)</f>
        <v>1080</v>
      </c>
      <c r="D82" s="9" t="s">
        <v>295</v>
      </c>
      <c r="E82" s="9" t="s">
        <v>174</v>
      </c>
      <c r="F82" s="9" t="s">
        <v>177</v>
      </c>
      <c r="G82" s="9" t="s">
        <v>296</v>
      </c>
      <c r="H82" s="14">
        <v>2.8719999999999999</v>
      </c>
      <c r="I82" s="9"/>
      <c r="J82" s="4" t="s">
        <v>208</v>
      </c>
    </row>
    <row r="83" spans="1:10" x14ac:dyDescent="0.35">
      <c r="A83" s="3" t="s">
        <v>90</v>
      </c>
      <c r="B83" s="9" t="s">
        <v>162</v>
      </c>
      <c r="C83" s="9" t="str">
        <f>RIGHT(Table1[[#This Row],[Employee ID]],4)</f>
        <v>1081</v>
      </c>
      <c r="D83" s="9" t="s">
        <v>294</v>
      </c>
      <c r="E83" s="9" t="s">
        <v>173</v>
      </c>
      <c r="F83" s="9">
        <v>95621</v>
      </c>
      <c r="G83" s="25" t="s">
        <v>372</v>
      </c>
      <c r="H83" s="9">
        <v>3</v>
      </c>
      <c r="I83" s="9" t="s">
        <v>181</v>
      </c>
      <c r="J83" s="4" t="s">
        <v>246</v>
      </c>
    </row>
    <row r="84" spans="1:10" x14ac:dyDescent="0.35">
      <c r="A84" s="3" t="s">
        <v>91</v>
      </c>
      <c r="B84" s="9" t="s">
        <v>159</v>
      </c>
      <c r="C84" s="9" t="str">
        <f>RIGHT(Table1[[#This Row],[Employee ID]],4)</f>
        <v>1082</v>
      </c>
      <c r="D84" s="9" t="s">
        <v>169</v>
      </c>
      <c r="E84" s="9" t="s">
        <v>175</v>
      </c>
      <c r="F84" s="9">
        <v>42262</v>
      </c>
      <c r="G84" s="25" t="s">
        <v>373</v>
      </c>
      <c r="H84" s="9">
        <v>1</v>
      </c>
      <c r="I84" s="9"/>
      <c r="J84" s="4" t="s">
        <v>247</v>
      </c>
    </row>
    <row r="85" spans="1:10" x14ac:dyDescent="0.35">
      <c r="A85" s="3" t="s">
        <v>92</v>
      </c>
      <c r="B85" s="9" t="s">
        <v>163</v>
      </c>
      <c r="C85" s="9" t="str">
        <f>RIGHT(Table1[[#This Row],[Employee ID]],4)</f>
        <v>1083</v>
      </c>
      <c r="D85" s="9" t="s">
        <v>294</v>
      </c>
      <c r="E85" s="9" t="s">
        <v>174</v>
      </c>
      <c r="F85" s="9">
        <v>99621</v>
      </c>
      <c r="G85" s="25" t="s">
        <v>374</v>
      </c>
      <c r="H85" s="14">
        <v>2.8719999999999999</v>
      </c>
      <c r="I85" s="9" t="s">
        <v>179</v>
      </c>
      <c r="J85" s="4" t="s">
        <v>248</v>
      </c>
    </row>
    <row r="86" spans="1:10" x14ac:dyDescent="0.35">
      <c r="A86" s="3" t="s">
        <v>93</v>
      </c>
      <c r="B86" s="9" t="s">
        <v>161</v>
      </c>
      <c r="C86" s="9" t="str">
        <f>RIGHT(Table1[[#This Row],[Employee ID]],4)</f>
        <v>1084</v>
      </c>
      <c r="D86" s="9" t="s">
        <v>295</v>
      </c>
      <c r="E86" s="9" t="s">
        <v>174</v>
      </c>
      <c r="F86" s="9">
        <v>44682</v>
      </c>
      <c r="G86" s="25" t="s">
        <v>375</v>
      </c>
      <c r="H86" s="9">
        <v>4</v>
      </c>
      <c r="I86" s="9" t="s">
        <v>181</v>
      </c>
      <c r="J86" s="4" t="s">
        <v>220</v>
      </c>
    </row>
    <row r="87" spans="1:10" x14ac:dyDescent="0.35">
      <c r="A87" s="3" t="s">
        <v>94</v>
      </c>
      <c r="B87" s="9" t="s">
        <v>164</v>
      </c>
      <c r="C87" s="9" t="str">
        <f>RIGHT(Table1[[#This Row],[Employee ID]],4)</f>
        <v>1085</v>
      </c>
      <c r="D87" s="9" t="s">
        <v>293</v>
      </c>
      <c r="E87" s="9"/>
      <c r="F87" s="9">
        <v>35163</v>
      </c>
      <c r="G87" s="25" t="s">
        <v>376</v>
      </c>
      <c r="H87" s="9">
        <v>5</v>
      </c>
      <c r="I87" s="9" t="s">
        <v>179</v>
      </c>
      <c r="J87" s="4" t="s">
        <v>249</v>
      </c>
    </row>
    <row r="88" spans="1:10" x14ac:dyDescent="0.35">
      <c r="A88" s="3" t="s">
        <v>95</v>
      </c>
      <c r="B88" s="9" t="s">
        <v>164</v>
      </c>
      <c r="C88" s="9" t="str">
        <f>RIGHT(Table1[[#This Row],[Employee ID]],4)</f>
        <v>1086</v>
      </c>
      <c r="D88" s="9" t="s">
        <v>169</v>
      </c>
      <c r="E88" s="9" t="s">
        <v>174</v>
      </c>
      <c r="F88" s="9">
        <v>33483</v>
      </c>
      <c r="G88" s="25" t="s">
        <v>377</v>
      </c>
      <c r="H88" s="9">
        <v>4</v>
      </c>
      <c r="I88" s="9" t="s">
        <v>180</v>
      </c>
      <c r="J88" s="4" t="s">
        <v>250</v>
      </c>
    </row>
    <row r="89" spans="1:10" x14ac:dyDescent="0.35">
      <c r="A89" s="3" t="s">
        <v>96</v>
      </c>
      <c r="B89" s="9" t="s">
        <v>163</v>
      </c>
      <c r="C89" s="9" t="str">
        <f>RIGHT(Table1[[#This Row],[Employee ID]],4)</f>
        <v>1087</v>
      </c>
      <c r="D89" s="9" t="s">
        <v>167</v>
      </c>
      <c r="E89" s="9" t="s">
        <v>172</v>
      </c>
      <c r="F89" s="9">
        <v>55303</v>
      </c>
      <c r="G89" s="25" t="s">
        <v>378</v>
      </c>
      <c r="H89" s="9">
        <v>4</v>
      </c>
      <c r="I89" s="9" t="s">
        <v>180</v>
      </c>
      <c r="J89" s="4" t="s">
        <v>203</v>
      </c>
    </row>
    <row r="90" spans="1:10" x14ac:dyDescent="0.35">
      <c r="A90" s="3" t="s">
        <v>97</v>
      </c>
      <c r="B90" s="9" t="s">
        <v>164</v>
      </c>
      <c r="C90" s="9" t="str">
        <f>RIGHT(Table1[[#This Row],[Employee ID]],4)</f>
        <v>1088</v>
      </c>
      <c r="D90" s="9" t="s">
        <v>169</v>
      </c>
      <c r="E90" s="9"/>
      <c r="F90" s="9">
        <v>63434</v>
      </c>
      <c r="G90" s="25" t="s">
        <v>379</v>
      </c>
      <c r="H90" s="9">
        <v>3</v>
      </c>
      <c r="I90" s="9"/>
      <c r="J90" s="4" t="s">
        <v>251</v>
      </c>
    </row>
    <row r="91" spans="1:10" x14ac:dyDescent="0.35">
      <c r="A91" s="3" t="s">
        <v>98</v>
      </c>
      <c r="B91" s="9" t="s">
        <v>162</v>
      </c>
      <c r="C91" s="9" t="str">
        <f>RIGHT(Table1[[#This Row],[Employee ID]],4)</f>
        <v>1089</v>
      </c>
      <c r="D91" s="9" t="s">
        <v>282</v>
      </c>
      <c r="E91" s="9" t="s">
        <v>176</v>
      </c>
      <c r="F91" s="9">
        <v>38830</v>
      </c>
      <c r="G91" s="25" t="s">
        <v>380</v>
      </c>
      <c r="H91" s="9">
        <v>3</v>
      </c>
      <c r="I91" s="9" t="s">
        <v>179</v>
      </c>
      <c r="J91" s="4" t="s">
        <v>203</v>
      </c>
    </row>
    <row r="92" spans="1:10" x14ac:dyDescent="0.35">
      <c r="A92" s="3" t="s">
        <v>99</v>
      </c>
      <c r="B92" s="9" t="s">
        <v>282</v>
      </c>
      <c r="C92" s="9" t="str">
        <f>RIGHT(Table1[[#This Row],[Employee ID]],4)</f>
        <v>1090</v>
      </c>
      <c r="D92" s="9" t="s">
        <v>295</v>
      </c>
      <c r="E92" s="9" t="s">
        <v>175</v>
      </c>
      <c r="F92" s="9">
        <v>50741</v>
      </c>
      <c r="G92" s="25" t="s">
        <v>381</v>
      </c>
      <c r="H92" s="9">
        <v>3</v>
      </c>
      <c r="I92" s="9" t="s">
        <v>178</v>
      </c>
      <c r="J92" s="4" t="s">
        <v>240</v>
      </c>
    </row>
    <row r="93" spans="1:10" x14ac:dyDescent="0.35">
      <c r="A93" s="3" t="s">
        <v>100</v>
      </c>
      <c r="B93" s="9" t="s">
        <v>160</v>
      </c>
      <c r="C93" s="9" t="str">
        <f>RIGHT(Table1[[#This Row],[Employee ID]],4)</f>
        <v>1091</v>
      </c>
      <c r="D93" s="9" t="s">
        <v>167</v>
      </c>
      <c r="E93" s="9" t="s">
        <v>176</v>
      </c>
      <c r="F93" s="9">
        <v>69420</v>
      </c>
      <c r="G93" s="25" t="s">
        <v>382</v>
      </c>
      <c r="H93" s="9">
        <v>1</v>
      </c>
      <c r="I93" s="9" t="s">
        <v>180</v>
      </c>
      <c r="J93" s="4" t="s">
        <v>225</v>
      </c>
    </row>
    <row r="94" spans="1:10" x14ac:dyDescent="0.35">
      <c r="A94" s="3" t="s">
        <v>101</v>
      </c>
      <c r="B94" s="9" t="s">
        <v>162</v>
      </c>
      <c r="C94" s="9" t="str">
        <f>RIGHT(Table1[[#This Row],[Employee ID]],4)</f>
        <v>1092</v>
      </c>
      <c r="D94" s="9" t="s">
        <v>169</v>
      </c>
      <c r="E94" s="9"/>
      <c r="F94" s="9">
        <v>80588</v>
      </c>
      <c r="G94" s="25" t="s">
        <v>383</v>
      </c>
      <c r="H94" s="9">
        <v>5</v>
      </c>
      <c r="I94" s="9" t="s">
        <v>180</v>
      </c>
      <c r="J94" s="4" t="s">
        <v>216</v>
      </c>
    </row>
    <row r="95" spans="1:10" x14ac:dyDescent="0.35">
      <c r="A95" s="3" t="s">
        <v>102</v>
      </c>
      <c r="B95" s="9" t="s">
        <v>160</v>
      </c>
      <c r="C95" s="9" t="str">
        <f>RIGHT(Table1[[#This Row],[Employee ID]],4)</f>
        <v>1093</v>
      </c>
      <c r="D95" s="9" t="s">
        <v>282</v>
      </c>
      <c r="E95" s="9" t="s">
        <v>173</v>
      </c>
      <c r="F95" s="9">
        <v>76238</v>
      </c>
      <c r="G95" s="25" t="s">
        <v>384</v>
      </c>
      <c r="H95" s="9">
        <v>4</v>
      </c>
      <c r="I95" s="9" t="s">
        <v>180</v>
      </c>
      <c r="J95" s="4" t="s">
        <v>252</v>
      </c>
    </row>
    <row r="96" spans="1:10" x14ac:dyDescent="0.35">
      <c r="A96" s="3" t="s">
        <v>103</v>
      </c>
      <c r="B96" s="9" t="s">
        <v>165</v>
      </c>
      <c r="C96" s="9" t="str">
        <f>RIGHT(Table1[[#This Row],[Employee ID]],4)</f>
        <v>1094</v>
      </c>
      <c r="D96" s="9" t="s">
        <v>169</v>
      </c>
      <c r="E96" s="9" t="s">
        <v>174</v>
      </c>
      <c r="F96" s="9">
        <v>33264</v>
      </c>
      <c r="G96" s="25" t="s">
        <v>385</v>
      </c>
      <c r="H96" s="14">
        <v>2.8719999999999999</v>
      </c>
      <c r="I96" s="9" t="s">
        <v>181</v>
      </c>
      <c r="J96" s="4" t="s">
        <v>253</v>
      </c>
    </row>
    <row r="97" spans="1:10" x14ac:dyDescent="0.35">
      <c r="A97" s="3" t="s">
        <v>104</v>
      </c>
      <c r="B97" s="9" t="s">
        <v>160</v>
      </c>
      <c r="C97" s="9" t="str">
        <f>RIGHT(Table1[[#This Row],[Employee ID]],4)</f>
        <v>1095</v>
      </c>
      <c r="D97" s="9" t="s">
        <v>293</v>
      </c>
      <c r="E97" s="9" t="s">
        <v>176</v>
      </c>
      <c r="F97" s="9">
        <v>96101</v>
      </c>
      <c r="G97" s="25" t="s">
        <v>386</v>
      </c>
      <c r="H97" s="14">
        <v>2.8719999999999999</v>
      </c>
      <c r="I97" s="9" t="s">
        <v>179</v>
      </c>
      <c r="J97" s="4" t="s">
        <v>254</v>
      </c>
    </row>
    <row r="98" spans="1:10" x14ac:dyDescent="0.35">
      <c r="A98" s="3" t="s">
        <v>105</v>
      </c>
      <c r="B98" s="9" t="s">
        <v>162</v>
      </c>
      <c r="C98" s="9" t="str">
        <f>RIGHT(Table1[[#This Row],[Employee ID]],4)</f>
        <v>1096</v>
      </c>
      <c r="D98" s="9" t="s">
        <v>293</v>
      </c>
      <c r="E98" s="9" t="s">
        <v>173</v>
      </c>
      <c r="F98" s="9">
        <v>72939</v>
      </c>
      <c r="G98" s="25" t="s">
        <v>387</v>
      </c>
      <c r="H98" s="9">
        <v>3</v>
      </c>
      <c r="I98" s="9"/>
      <c r="J98" s="4" t="s">
        <v>255</v>
      </c>
    </row>
    <row r="99" spans="1:10" x14ac:dyDescent="0.35">
      <c r="A99" s="3" t="s">
        <v>106</v>
      </c>
      <c r="B99" s="9" t="s">
        <v>163</v>
      </c>
      <c r="C99" s="9" t="str">
        <f>RIGHT(Table1[[#This Row],[Employee ID]],4)</f>
        <v>1097</v>
      </c>
      <c r="D99" s="9" t="s">
        <v>167</v>
      </c>
      <c r="E99" s="9" t="s">
        <v>172</v>
      </c>
      <c r="F99" s="9">
        <v>89333</v>
      </c>
      <c r="G99" s="25" t="s">
        <v>388</v>
      </c>
      <c r="H99" s="9">
        <v>1</v>
      </c>
      <c r="I99" s="9" t="s">
        <v>180</v>
      </c>
      <c r="J99" s="4" t="s">
        <v>256</v>
      </c>
    </row>
    <row r="100" spans="1:10" x14ac:dyDescent="0.35">
      <c r="A100" s="3" t="s">
        <v>107</v>
      </c>
      <c r="B100" s="9" t="s">
        <v>165</v>
      </c>
      <c r="C100" s="9" t="str">
        <f>RIGHT(Table1[[#This Row],[Employee ID]],4)</f>
        <v>1098</v>
      </c>
      <c r="D100" s="9" t="s">
        <v>169</v>
      </c>
      <c r="E100" s="9" t="s">
        <v>176</v>
      </c>
      <c r="F100" s="9">
        <v>70470</v>
      </c>
      <c r="G100" s="25" t="s">
        <v>389</v>
      </c>
      <c r="H100" s="14">
        <v>2.8719999999999999</v>
      </c>
      <c r="I100" s="9" t="s">
        <v>180</v>
      </c>
      <c r="J100" s="4" t="s">
        <v>257</v>
      </c>
    </row>
    <row r="101" spans="1:10" x14ac:dyDescent="0.35">
      <c r="A101" s="3" t="s">
        <v>108</v>
      </c>
      <c r="B101" s="9" t="s">
        <v>159</v>
      </c>
      <c r="C101" s="9" t="str">
        <f>RIGHT(Table1[[#This Row],[Employee ID]],4)</f>
        <v>1099</v>
      </c>
      <c r="D101" s="9" t="s">
        <v>295</v>
      </c>
      <c r="E101" s="9" t="s">
        <v>173</v>
      </c>
      <c r="F101" s="9">
        <v>70096</v>
      </c>
      <c r="G101" s="25" t="s">
        <v>390</v>
      </c>
      <c r="H101" s="9">
        <v>4</v>
      </c>
      <c r="I101" s="9" t="s">
        <v>180</v>
      </c>
      <c r="J101" s="4" t="s">
        <v>258</v>
      </c>
    </row>
    <row r="102" spans="1:10" x14ac:dyDescent="0.35">
      <c r="A102" s="3" t="s">
        <v>109</v>
      </c>
      <c r="B102" s="9" t="s">
        <v>165</v>
      </c>
      <c r="C102" s="9" t="str">
        <f>RIGHT(Table1[[#This Row],[Employee ID]],4)</f>
        <v>1100</v>
      </c>
      <c r="D102" s="9" t="s">
        <v>295</v>
      </c>
      <c r="E102" s="9" t="s">
        <v>171</v>
      </c>
      <c r="F102" s="9" t="s">
        <v>177</v>
      </c>
      <c r="G102" s="25" t="s">
        <v>391</v>
      </c>
      <c r="H102" s="9">
        <v>2</v>
      </c>
      <c r="I102" s="9" t="s">
        <v>179</v>
      </c>
      <c r="J102" s="4" t="s">
        <v>259</v>
      </c>
    </row>
    <row r="103" spans="1:10" x14ac:dyDescent="0.35">
      <c r="A103" s="3" t="s">
        <v>110</v>
      </c>
      <c r="B103" s="9" t="s">
        <v>165</v>
      </c>
      <c r="C103" s="9" t="str">
        <f>RIGHT(Table1[[#This Row],[Employee ID]],4)</f>
        <v>1101</v>
      </c>
      <c r="D103" s="9" t="s">
        <v>169</v>
      </c>
      <c r="E103" s="9" t="s">
        <v>172</v>
      </c>
      <c r="F103" s="9">
        <v>66503</v>
      </c>
      <c r="G103" s="25" t="s">
        <v>392</v>
      </c>
      <c r="H103" s="14">
        <v>2.8719999999999999</v>
      </c>
      <c r="I103" s="9" t="s">
        <v>180</v>
      </c>
      <c r="J103" s="4" t="s">
        <v>200</v>
      </c>
    </row>
    <row r="104" spans="1:10" x14ac:dyDescent="0.35">
      <c r="A104" s="3" t="s">
        <v>111</v>
      </c>
      <c r="B104" s="9" t="s">
        <v>160</v>
      </c>
      <c r="C104" s="9" t="str">
        <f>RIGHT(Table1[[#This Row],[Employee ID]],4)</f>
        <v>1102</v>
      </c>
      <c r="D104" s="9" t="s">
        <v>167</v>
      </c>
      <c r="E104" s="9" t="s">
        <v>172</v>
      </c>
      <c r="F104" s="9">
        <v>42096</v>
      </c>
      <c r="G104" s="25" t="s">
        <v>393</v>
      </c>
      <c r="H104" s="14">
        <v>2.8719999999999999</v>
      </c>
      <c r="I104" s="9" t="s">
        <v>181</v>
      </c>
      <c r="J104" s="4" t="s">
        <v>260</v>
      </c>
    </row>
    <row r="105" spans="1:10" x14ac:dyDescent="0.35">
      <c r="A105" s="3" t="s">
        <v>112</v>
      </c>
      <c r="B105" s="9" t="s">
        <v>160</v>
      </c>
      <c r="C105" s="9" t="str">
        <f>RIGHT(Table1[[#This Row],[Employee ID]],4)</f>
        <v>1103</v>
      </c>
      <c r="D105" s="9" t="s">
        <v>295</v>
      </c>
      <c r="E105" s="9"/>
      <c r="F105" s="9">
        <v>79145</v>
      </c>
      <c r="G105" s="25" t="s">
        <v>394</v>
      </c>
      <c r="H105" s="9">
        <v>5</v>
      </c>
      <c r="I105" s="9" t="s">
        <v>179</v>
      </c>
      <c r="J105" s="4" t="s">
        <v>223</v>
      </c>
    </row>
    <row r="106" spans="1:10" x14ac:dyDescent="0.35">
      <c r="A106" s="3" t="s">
        <v>113</v>
      </c>
      <c r="B106" s="9" t="s">
        <v>162</v>
      </c>
      <c r="C106" s="9" t="str">
        <f>RIGHT(Table1[[#This Row],[Employee ID]],4)</f>
        <v>1104</v>
      </c>
      <c r="D106" s="9" t="s">
        <v>282</v>
      </c>
      <c r="E106" s="9" t="s">
        <v>176</v>
      </c>
      <c r="F106" s="9">
        <v>61556</v>
      </c>
      <c r="G106" s="25" t="s">
        <v>395</v>
      </c>
      <c r="H106" s="9">
        <v>1</v>
      </c>
      <c r="I106" s="9"/>
      <c r="J106" s="4" t="s">
        <v>259</v>
      </c>
    </row>
    <row r="107" spans="1:10" x14ac:dyDescent="0.35">
      <c r="A107" s="3" t="s">
        <v>114</v>
      </c>
      <c r="B107" s="9" t="s">
        <v>282</v>
      </c>
      <c r="C107" s="9" t="str">
        <f>RIGHT(Table1[[#This Row],[Employee ID]],4)</f>
        <v>1105</v>
      </c>
      <c r="D107" s="9" t="s">
        <v>167</v>
      </c>
      <c r="E107" s="9" t="s">
        <v>175</v>
      </c>
      <c r="F107" s="9">
        <v>87963</v>
      </c>
      <c r="G107" s="25" t="s">
        <v>396</v>
      </c>
      <c r="H107" s="9">
        <v>3</v>
      </c>
      <c r="I107" s="9" t="s">
        <v>179</v>
      </c>
      <c r="J107" s="4" t="s">
        <v>182</v>
      </c>
    </row>
    <row r="108" spans="1:10" x14ac:dyDescent="0.35">
      <c r="A108" s="3" t="s">
        <v>115</v>
      </c>
      <c r="B108" s="9" t="s">
        <v>159</v>
      </c>
      <c r="C108" s="9" t="str">
        <f>RIGHT(Table1[[#This Row],[Employee ID]],4)</f>
        <v>1106</v>
      </c>
      <c r="D108" s="9" t="s">
        <v>169</v>
      </c>
      <c r="E108" s="9"/>
      <c r="F108" s="9">
        <v>48325</v>
      </c>
      <c r="G108" s="25" t="s">
        <v>397</v>
      </c>
      <c r="H108" s="14">
        <v>2.8719999999999999</v>
      </c>
      <c r="I108" s="9" t="s">
        <v>180</v>
      </c>
      <c r="J108" s="4" t="s">
        <v>261</v>
      </c>
    </row>
    <row r="109" spans="1:10" x14ac:dyDescent="0.35">
      <c r="A109" s="3" t="s">
        <v>116</v>
      </c>
      <c r="B109" s="9" t="s">
        <v>163</v>
      </c>
      <c r="C109" s="9" t="str">
        <f>RIGHT(Table1[[#This Row],[Employee ID]],4)</f>
        <v>1107</v>
      </c>
      <c r="D109" s="9" t="s">
        <v>295</v>
      </c>
      <c r="E109" s="9" t="s">
        <v>176</v>
      </c>
      <c r="F109" s="9">
        <v>86412</v>
      </c>
      <c r="G109" s="25" t="s">
        <v>398</v>
      </c>
      <c r="H109" s="9">
        <v>2</v>
      </c>
      <c r="I109" s="9" t="s">
        <v>181</v>
      </c>
      <c r="J109" s="4" t="s">
        <v>202</v>
      </c>
    </row>
    <row r="110" spans="1:10" x14ac:dyDescent="0.35">
      <c r="A110" s="3" t="s">
        <v>117</v>
      </c>
      <c r="B110" s="9" t="s">
        <v>163</v>
      </c>
      <c r="C110" s="9" t="str">
        <f>RIGHT(Table1[[#This Row],[Employee ID]],4)</f>
        <v>1108</v>
      </c>
      <c r="D110" s="9" t="s">
        <v>167</v>
      </c>
      <c r="E110" s="9"/>
      <c r="F110" s="9">
        <v>66761</v>
      </c>
      <c r="G110" s="25" t="s">
        <v>399</v>
      </c>
      <c r="H110" s="9">
        <v>1</v>
      </c>
      <c r="I110" s="9"/>
      <c r="J110" s="4" t="s">
        <v>262</v>
      </c>
    </row>
    <row r="111" spans="1:10" x14ac:dyDescent="0.35">
      <c r="A111" s="3" t="s">
        <v>118</v>
      </c>
      <c r="B111" s="9" t="s">
        <v>162</v>
      </c>
      <c r="C111" s="9" t="str">
        <f>RIGHT(Table1[[#This Row],[Employee ID]],4)</f>
        <v>1109</v>
      </c>
      <c r="D111" s="9" t="s">
        <v>282</v>
      </c>
      <c r="E111" s="9" t="s">
        <v>174</v>
      </c>
      <c r="F111" s="9">
        <v>88850</v>
      </c>
      <c r="G111" s="25" t="s">
        <v>400</v>
      </c>
      <c r="H111" s="9">
        <v>1</v>
      </c>
      <c r="I111" s="9" t="s">
        <v>181</v>
      </c>
      <c r="J111" s="4" t="s">
        <v>263</v>
      </c>
    </row>
    <row r="112" spans="1:10" x14ac:dyDescent="0.35">
      <c r="A112" s="3" t="s">
        <v>119</v>
      </c>
      <c r="B112" s="9" t="s">
        <v>164</v>
      </c>
      <c r="C112" s="9" t="str">
        <f>RIGHT(Table1[[#This Row],[Employee ID]],4)</f>
        <v>1110</v>
      </c>
      <c r="D112" s="9" t="s">
        <v>294</v>
      </c>
      <c r="E112" s="9" t="s">
        <v>174</v>
      </c>
      <c r="F112" s="9">
        <v>31293</v>
      </c>
      <c r="G112" s="9" t="s">
        <v>296</v>
      </c>
      <c r="H112" s="9">
        <v>2</v>
      </c>
      <c r="I112" s="9" t="s">
        <v>181</v>
      </c>
      <c r="J112" s="4" t="s">
        <v>264</v>
      </c>
    </row>
    <row r="113" spans="1:10" x14ac:dyDescent="0.35">
      <c r="A113" s="3" t="s">
        <v>120</v>
      </c>
      <c r="B113" s="9" t="s">
        <v>164</v>
      </c>
      <c r="C113" s="9" t="str">
        <f>RIGHT(Table1[[#This Row],[Employee ID]],4)</f>
        <v>1111</v>
      </c>
      <c r="D113" s="9" t="s">
        <v>169</v>
      </c>
      <c r="E113" s="9" t="s">
        <v>173</v>
      </c>
      <c r="F113" s="9">
        <v>34306</v>
      </c>
      <c r="G113" s="25" t="s">
        <v>401</v>
      </c>
      <c r="H113" s="9">
        <v>5</v>
      </c>
      <c r="I113" s="9" t="s">
        <v>181</v>
      </c>
      <c r="J113" s="4" t="s">
        <v>239</v>
      </c>
    </row>
    <row r="114" spans="1:10" x14ac:dyDescent="0.35">
      <c r="A114" s="3" t="s">
        <v>121</v>
      </c>
      <c r="B114" s="9" t="s">
        <v>159</v>
      </c>
      <c r="C114" s="9" t="str">
        <f>RIGHT(Table1[[#This Row],[Employee ID]],4)</f>
        <v>1112</v>
      </c>
      <c r="D114" s="9" t="s">
        <v>293</v>
      </c>
      <c r="E114" s="9" t="s">
        <v>174</v>
      </c>
      <c r="F114" s="9">
        <v>78330</v>
      </c>
      <c r="G114" s="25" t="s">
        <v>402</v>
      </c>
      <c r="H114" s="14">
        <v>2.8719999999999999</v>
      </c>
      <c r="I114" s="9" t="s">
        <v>179</v>
      </c>
      <c r="J114" s="4" t="s">
        <v>258</v>
      </c>
    </row>
    <row r="115" spans="1:10" x14ac:dyDescent="0.35">
      <c r="A115" s="3" t="s">
        <v>122</v>
      </c>
      <c r="B115" s="9" t="s">
        <v>160</v>
      </c>
      <c r="C115" s="9" t="str">
        <f>RIGHT(Table1[[#This Row],[Employee ID]],4)</f>
        <v>1113</v>
      </c>
      <c r="D115" s="9" t="s">
        <v>169</v>
      </c>
      <c r="E115" s="9" t="s">
        <v>173</v>
      </c>
      <c r="F115" s="9">
        <v>47653</v>
      </c>
      <c r="G115" s="25" t="s">
        <v>403</v>
      </c>
      <c r="H115" s="9">
        <v>1</v>
      </c>
      <c r="I115" s="9" t="s">
        <v>180</v>
      </c>
      <c r="J115" s="4" t="s">
        <v>265</v>
      </c>
    </row>
    <row r="116" spans="1:10" x14ac:dyDescent="0.35">
      <c r="A116" s="3" t="s">
        <v>123</v>
      </c>
      <c r="B116" s="9" t="s">
        <v>159</v>
      </c>
      <c r="C116" s="9" t="str">
        <f>RIGHT(Table1[[#This Row],[Employee ID]],4)</f>
        <v>1114</v>
      </c>
      <c r="D116" s="9" t="s">
        <v>295</v>
      </c>
      <c r="E116" s="9" t="s">
        <v>175</v>
      </c>
      <c r="F116" s="9">
        <v>44627</v>
      </c>
      <c r="G116" s="25" t="s">
        <v>404</v>
      </c>
      <c r="H116" s="9">
        <v>4</v>
      </c>
      <c r="I116" s="9"/>
      <c r="J116" s="4" t="s">
        <v>235</v>
      </c>
    </row>
    <row r="117" spans="1:10" x14ac:dyDescent="0.35">
      <c r="A117" s="3" t="s">
        <v>124</v>
      </c>
      <c r="B117" s="9" t="s">
        <v>165</v>
      </c>
      <c r="C117" s="9" t="str">
        <f>RIGHT(Table1[[#This Row],[Employee ID]],4)</f>
        <v>1115</v>
      </c>
      <c r="D117" s="9" t="s">
        <v>167</v>
      </c>
      <c r="E117" s="9" t="s">
        <v>172</v>
      </c>
      <c r="F117" s="9">
        <v>92343</v>
      </c>
      <c r="G117" s="25" t="s">
        <v>405</v>
      </c>
      <c r="H117" s="9">
        <v>4</v>
      </c>
      <c r="I117" s="9" t="s">
        <v>181</v>
      </c>
      <c r="J117" s="4" t="s">
        <v>203</v>
      </c>
    </row>
    <row r="118" spans="1:10" x14ac:dyDescent="0.35">
      <c r="A118" s="3" t="s">
        <v>125</v>
      </c>
      <c r="B118" s="9" t="s">
        <v>165</v>
      </c>
      <c r="C118" s="9" t="str">
        <f>RIGHT(Table1[[#This Row],[Employee ID]],4)</f>
        <v>1116</v>
      </c>
      <c r="D118" s="9" t="s">
        <v>295</v>
      </c>
      <c r="E118" s="9" t="s">
        <v>176</v>
      </c>
      <c r="F118" s="9">
        <v>38837</v>
      </c>
      <c r="G118" s="25" t="s">
        <v>406</v>
      </c>
      <c r="H118" s="9">
        <v>5</v>
      </c>
      <c r="I118" s="9" t="s">
        <v>181</v>
      </c>
      <c r="J118" s="4" t="s">
        <v>239</v>
      </c>
    </row>
    <row r="119" spans="1:10" x14ac:dyDescent="0.35">
      <c r="A119" s="3" t="s">
        <v>126</v>
      </c>
      <c r="B119" s="9" t="s">
        <v>165</v>
      </c>
      <c r="C119" s="9" t="str">
        <f>RIGHT(Table1[[#This Row],[Employee ID]],4)</f>
        <v>1117</v>
      </c>
      <c r="D119" s="9" t="s">
        <v>295</v>
      </c>
      <c r="E119" s="9"/>
      <c r="F119" s="9">
        <v>73483</v>
      </c>
      <c r="G119" s="25" t="s">
        <v>407</v>
      </c>
      <c r="H119" s="9">
        <v>1</v>
      </c>
      <c r="I119" s="9"/>
      <c r="J119" s="4" t="s">
        <v>266</v>
      </c>
    </row>
    <row r="120" spans="1:10" x14ac:dyDescent="0.35">
      <c r="A120" s="3" t="s">
        <v>127</v>
      </c>
      <c r="B120" s="9" t="s">
        <v>164</v>
      </c>
      <c r="C120" s="9" t="str">
        <f>RIGHT(Table1[[#This Row],[Employee ID]],4)</f>
        <v>1118</v>
      </c>
      <c r="D120" s="9" t="s">
        <v>294</v>
      </c>
      <c r="E120" s="9" t="s">
        <v>174</v>
      </c>
      <c r="F120" s="9">
        <v>95032</v>
      </c>
      <c r="G120" s="25" t="s">
        <v>408</v>
      </c>
      <c r="H120" s="9">
        <v>3</v>
      </c>
      <c r="I120" s="9"/>
      <c r="J120" s="4" t="s">
        <v>267</v>
      </c>
    </row>
    <row r="121" spans="1:10" x14ac:dyDescent="0.35">
      <c r="A121" s="3" t="s">
        <v>128</v>
      </c>
      <c r="B121" s="9" t="s">
        <v>159</v>
      </c>
      <c r="C121" s="9" t="str">
        <f>RIGHT(Table1[[#This Row],[Employee ID]],4)</f>
        <v>1119</v>
      </c>
      <c r="D121" s="9" t="s">
        <v>294</v>
      </c>
      <c r="E121" s="9" t="s">
        <v>176</v>
      </c>
      <c r="F121" s="9">
        <v>44358</v>
      </c>
      <c r="G121" s="25" t="s">
        <v>409</v>
      </c>
      <c r="H121" s="14">
        <v>2.8719999999999999</v>
      </c>
      <c r="I121" s="9" t="s">
        <v>181</v>
      </c>
      <c r="J121" s="4" t="s">
        <v>200</v>
      </c>
    </row>
    <row r="122" spans="1:10" x14ac:dyDescent="0.35">
      <c r="A122" s="3" t="s">
        <v>129</v>
      </c>
      <c r="B122" s="9" t="s">
        <v>282</v>
      </c>
      <c r="C122" s="9" t="str">
        <f>RIGHT(Table1[[#This Row],[Employee ID]],4)</f>
        <v>1120</v>
      </c>
      <c r="D122" s="9" t="s">
        <v>169</v>
      </c>
      <c r="E122" s="9" t="s">
        <v>173</v>
      </c>
      <c r="F122" s="9" t="s">
        <v>177</v>
      </c>
      <c r="G122" s="9" t="s">
        <v>296</v>
      </c>
      <c r="H122" s="9">
        <v>5</v>
      </c>
      <c r="I122" s="9" t="s">
        <v>178</v>
      </c>
      <c r="J122" s="4" t="s">
        <v>268</v>
      </c>
    </row>
    <row r="123" spans="1:10" x14ac:dyDescent="0.35">
      <c r="A123" s="3" t="s">
        <v>130</v>
      </c>
      <c r="B123" s="9" t="s">
        <v>164</v>
      </c>
      <c r="C123" s="9" t="str">
        <f>RIGHT(Table1[[#This Row],[Employee ID]],4)</f>
        <v>1121</v>
      </c>
      <c r="D123" s="9" t="s">
        <v>294</v>
      </c>
      <c r="E123" s="9" t="s">
        <v>173</v>
      </c>
      <c r="F123" s="9">
        <v>45676</v>
      </c>
      <c r="G123" s="25" t="s">
        <v>410</v>
      </c>
      <c r="H123" s="9">
        <v>2</v>
      </c>
      <c r="I123" s="9"/>
      <c r="J123" s="4" t="s">
        <v>269</v>
      </c>
    </row>
    <row r="124" spans="1:10" x14ac:dyDescent="0.35">
      <c r="A124" s="3" t="s">
        <v>131</v>
      </c>
      <c r="B124" s="9" t="s">
        <v>165</v>
      </c>
      <c r="C124" s="9" t="str">
        <f>RIGHT(Table1[[#This Row],[Employee ID]],4)</f>
        <v>1122</v>
      </c>
      <c r="D124" s="9" t="s">
        <v>294</v>
      </c>
      <c r="E124" s="9" t="s">
        <v>172</v>
      </c>
      <c r="F124" s="9">
        <v>52036</v>
      </c>
      <c r="G124" s="25" t="s">
        <v>411</v>
      </c>
      <c r="H124" s="9">
        <v>3</v>
      </c>
      <c r="I124" s="9" t="s">
        <v>180</v>
      </c>
      <c r="J124" s="4" t="s">
        <v>270</v>
      </c>
    </row>
    <row r="125" spans="1:10" x14ac:dyDescent="0.35">
      <c r="A125" s="3" t="s">
        <v>132</v>
      </c>
      <c r="B125" s="9" t="s">
        <v>162</v>
      </c>
      <c r="C125" s="9" t="str">
        <f>RIGHT(Table1[[#This Row],[Employee ID]],4)</f>
        <v>1123</v>
      </c>
      <c r="D125" s="9" t="s">
        <v>282</v>
      </c>
      <c r="E125" s="9" t="s">
        <v>172</v>
      </c>
      <c r="F125" s="9">
        <v>30357</v>
      </c>
      <c r="G125" s="25" t="s">
        <v>412</v>
      </c>
      <c r="H125" s="9">
        <v>5</v>
      </c>
      <c r="I125" s="9" t="s">
        <v>180</v>
      </c>
      <c r="J125" s="4" t="s">
        <v>248</v>
      </c>
    </row>
    <row r="126" spans="1:10" x14ac:dyDescent="0.35">
      <c r="A126" s="3" t="s">
        <v>133</v>
      </c>
      <c r="B126" s="9" t="s">
        <v>161</v>
      </c>
      <c r="C126" s="9" t="str">
        <f>RIGHT(Table1[[#This Row],[Employee ID]],4)</f>
        <v>1124</v>
      </c>
      <c r="D126" s="9" t="s">
        <v>169</v>
      </c>
      <c r="E126" s="9"/>
      <c r="F126" s="9">
        <v>60034</v>
      </c>
      <c r="G126" s="25" t="s">
        <v>413</v>
      </c>
      <c r="H126" s="9">
        <v>1</v>
      </c>
      <c r="I126" s="9" t="s">
        <v>181</v>
      </c>
      <c r="J126" s="4" t="s">
        <v>271</v>
      </c>
    </row>
    <row r="127" spans="1:10" x14ac:dyDescent="0.35">
      <c r="A127" s="3" t="s">
        <v>134</v>
      </c>
      <c r="B127" s="9" t="s">
        <v>161</v>
      </c>
      <c r="C127" s="9" t="str">
        <f>RIGHT(Table1[[#This Row],[Employee ID]],4)</f>
        <v>1125</v>
      </c>
      <c r="D127" s="9" t="s">
        <v>293</v>
      </c>
      <c r="E127" s="9" t="s">
        <v>171</v>
      </c>
      <c r="F127" s="9">
        <v>90019</v>
      </c>
      <c r="G127" s="25" t="s">
        <v>414</v>
      </c>
      <c r="H127" s="9">
        <v>5</v>
      </c>
      <c r="I127" s="9"/>
      <c r="J127" s="4" t="s">
        <v>272</v>
      </c>
    </row>
    <row r="128" spans="1:10" x14ac:dyDescent="0.35">
      <c r="A128" s="3" t="s">
        <v>135</v>
      </c>
      <c r="B128" s="9" t="s">
        <v>165</v>
      </c>
      <c r="C128" s="9" t="str">
        <f>RIGHT(Table1[[#This Row],[Employee ID]],4)</f>
        <v>1126</v>
      </c>
      <c r="D128" s="9" t="s">
        <v>282</v>
      </c>
      <c r="E128" s="9" t="s">
        <v>172</v>
      </c>
      <c r="F128" s="9">
        <v>71494</v>
      </c>
      <c r="G128" s="25" t="s">
        <v>415</v>
      </c>
      <c r="H128" s="9">
        <v>3</v>
      </c>
      <c r="I128" s="9" t="s">
        <v>180</v>
      </c>
      <c r="J128" s="4" t="s">
        <v>273</v>
      </c>
    </row>
    <row r="129" spans="1:10" x14ac:dyDescent="0.35">
      <c r="A129" s="3" t="s">
        <v>136</v>
      </c>
      <c r="B129" s="9" t="s">
        <v>161</v>
      </c>
      <c r="C129" s="9" t="str">
        <f>RIGHT(Table1[[#This Row],[Employee ID]],4)</f>
        <v>1127</v>
      </c>
      <c r="D129" s="9" t="s">
        <v>293</v>
      </c>
      <c r="E129" s="9" t="s">
        <v>173</v>
      </c>
      <c r="F129" s="9">
        <v>91953</v>
      </c>
      <c r="G129" s="25" t="s">
        <v>416</v>
      </c>
      <c r="H129" s="9">
        <v>2</v>
      </c>
      <c r="I129" s="9" t="s">
        <v>180</v>
      </c>
      <c r="J129" s="4" t="s">
        <v>209</v>
      </c>
    </row>
    <row r="130" spans="1:10" x14ac:dyDescent="0.35">
      <c r="A130" s="3" t="s">
        <v>137</v>
      </c>
      <c r="B130" s="9" t="s">
        <v>164</v>
      </c>
      <c r="C130" s="9" t="str">
        <f>RIGHT(Table1[[#This Row],[Employee ID]],4)</f>
        <v>1128</v>
      </c>
      <c r="D130" s="9" t="s">
        <v>294</v>
      </c>
      <c r="E130" s="9" t="s">
        <v>173</v>
      </c>
      <c r="F130" s="9">
        <v>30402</v>
      </c>
      <c r="G130" s="25" t="s">
        <v>417</v>
      </c>
      <c r="H130" s="9">
        <v>1</v>
      </c>
      <c r="I130" s="9"/>
      <c r="J130" s="4" t="s">
        <v>274</v>
      </c>
    </row>
    <row r="131" spans="1:10" x14ac:dyDescent="0.35">
      <c r="A131" s="3" t="s">
        <v>138</v>
      </c>
      <c r="B131" s="9" t="s">
        <v>165</v>
      </c>
      <c r="C131" s="9" t="str">
        <f>RIGHT(Table1[[#This Row],[Employee ID]],4)</f>
        <v>1129</v>
      </c>
      <c r="D131" s="9" t="s">
        <v>282</v>
      </c>
      <c r="E131" s="9" t="s">
        <v>175</v>
      </c>
      <c r="F131" s="9">
        <v>62994</v>
      </c>
      <c r="G131" s="25" t="s">
        <v>418</v>
      </c>
      <c r="H131" s="14">
        <v>2.8719999999999999</v>
      </c>
      <c r="I131" s="9"/>
      <c r="J131" s="4" t="s">
        <v>221</v>
      </c>
    </row>
    <row r="132" spans="1:10" x14ac:dyDescent="0.35">
      <c r="A132" s="3" t="s">
        <v>139</v>
      </c>
      <c r="B132" s="9" t="s">
        <v>160</v>
      </c>
      <c r="C132" s="9" t="str">
        <f>RIGHT(Table1[[#This Row],[Employee ID]],4)</f>
        <v>1130</v>
      </c>
      <c r="D132" s="9" t="s">
        <v>294</v>
      </c>
      <c r="E132" s="9" t="s">
        <v>174</v>
      </c>
      <c r="F132" s="9">
        <v>48289</v>
      </c>
      <c r="G132" s="9" t="s">
        <v>296</v>
      </c>
      <c r="H132" s="9">
        <v>3</v>
      </c>
      <c r="I132" s="9" t="s">
        <v>180</v>
      </c>
      <c r="J132" s="4" t="s">
        <v>189</v>
      </c>
    </row>
    <row r="133" spans="1:10" x14ac:dyDescent="0.35">
      <c r="A133" s="3" t="s">
        <v>140</v>
      </c>
      <c r="B133" s="9" t="s">
        <v>163</v>
      </c>
      <c r="C133" s="9" t="str">
        <f>RIGHT(Table1[[#This Row],[Employee ID]],4)</f>
        <v>1131</v>
      </c>
      <c r="D133" s="9" t="s">
        <v>295</v>
      </c>
      <c r="E133" s="9" t="s">
        <v>172</v>
      </c>
      <c r="F133" s="9">
        <v>34402</v>
      </c>
      <c r="G133" s="25" t="s">
        <v>419</v>
      </c>
      <c r="H133" s="9">
        <v>3</v>
      </c>
      <c r="I133" s="9" t="s">
        <v>179</v>
      </c>
      <c r="J133" s="4" t="s">
        <v>218</v>
      </c>
    </row>
    <row r="134" spans="1:10" x14ac:dyDescent="0.35">
      <c r="A134" s="3" t="s">
        <v>141</v>
      </c>
      <c r="B134" s="9" t="s">
        <v>159</v>
      </c>
      <c r="C134" s="9" t="str">
        <f>RIGHT(Table1[[#This Row],[Employee ID]],4)</f>
        <v>1132</v>
      </c>
      <c r="D134" s="9" t="s">
        <v>167</v>
      </c>
      <c r="E134" s="9" t="s">
        <v>173</v>
      </c>
      <c r="F134" s="9">
        <v>38678</v>
      </c>
      <c r="G134" s="25" t="s">
        <v>420</v>
      </c>
      <c r="H134" s="9">
        <v>3</v>
      </c>
      <c r="I134" s="9" t="s">
        <v>179</v>
      </c>
      <c r="J134" s="4" t="s">
        <v>275</v>
      </c>
    </row>
    <row r="135" spans="1:10" x14ac:dyDescent="0.35">
      <c r="A135" s="3" t="s">
        <v>142</v>
      </c>
      <c r="B135" s="9" t="s">
        <v>164</v>
      </c>
      <c r="C135" s="9" t="str">
        <f>RIGHT(Table1[[#This Row],[Employee ID]],4)</f>
        <v>1133</v>
      </c>
      <c r="D135" s="9" t="s">
        <v>167</v>
      </c>
      <c r="E135" s="9" t="s">
        <v>172</v>
      </c>
      <c r="F135" s="9">
        <v>45758</v>
      </c>
      <c r="G135" s="25" t="s">
        <v>421</v>
      </c>
      <c r="H135" s="9">
        <v>3</v>
      </c>
      <c r="I135" s="9"/>
      <c r="J135" s="4" t="s">
        <v>264</v>
      </c>
    </row>
    <row r="136" spans="1:10" x14ac:dyDescent="0.35">
      <c r="A136" s="3" t="s">
        <v>143</v>
      </c>
      <c r="B136" s="9" t="s">
        <v>159</v>
      </c>
      <c r="C136" s="9" t="str">
        <f>RIGHT(Table1[[#This Row],[Employee ID]],4)</f>
        <v>1134</v>
      </c>
      <c r="D136" s="9" t="s">
        <v>295</v>
      </c>
      <c r="E136" s="9" t="s">
        <v>174</v>
      </c>
      <c r="F136" s="9">
        <v>62476</v>
      </c>
      <c r="G136" s="25" t="s">
        <v>422</v>
      </c>
      <c r="H136" s="9">
        <v>1</v>
      </c>
      <c r="I136" s="9" t="s">
        <v>179</v>
      </c>
      <c r="J136" s="4" t="s">
        <v>231</v>
      </c>
    </row>
    <row r="137" spans="1:10" x14ac:dyDescent="0.35">
      <c r="A137" s="3" t="s">
        <v>144</v>
      </c>
      <c r="B137" s="9" t="s">
        <v>282</v>
      </c>
      <c r="C137" s="9" t="str">
        <f>RIGHT(Table1[[#This Row],[Employee ID]],4)</f>
        <v>1135</v>
      </c>
      <c r="D137" s="9" t="s">
        <v>169</v>
      </c>
      <c r="E137" s="9" t="s">
        <v>175</v>
      </c>
      <c r="F137" s="9">
        <v>39280</v>
      </c>
      <c r="G137" s="25" t="s">
        <v>423</v>
      </c>
      <c r="H137" s="9">
        <v>3</v>
      </c>
      <c r="I137" s="9" t="s">
        <v>181</v>
      </c>
      <c r="J137" s="4" t="s">
        <v>214</v>
      </c>
    </row>
    <row r="138" spans="1:10" x14ac:dyDescent="0.35">
      <c r="A138" s="3" t="s">
        <v>145</v>
      </c>
      <c r="B138" s="9" t="s">
        <v>162</v>
      </c>
      <c r="C138" s="9" t="str">
        <f>RIGHT(Table1[[#This Row],[Employee ID]],4)</f>
        <v>1136</v>
      </c>
      <c r="D138" s="9" t="s">
        <v>293</v>
      </c>
      <c r="E138" s="9" t="s">
        <v>174</v>
      </c>
      <c r="F138" s="9">
        <v>60335</v>
      </c>
      <c r="G138" s="25" t="s">
        <v>424</v>
      </c>
      <c r="H138" s="9">
        <v>4</v>
      </c>
      <c r="I138" s="9" t="s">
        <v>179</v>
      </c>
      <c r="J138" s="4" t="s">
        <v>227</v>
      </c>
    </row>
    <row r="139" spans="1:10" x14ac:dyDescent="0.35">
      <c r="A139" s="3" t="s">
        <v>146</v>
      </c>
      <c r="B139" s="9" t="s">
        <v>164</v>
      </c>
      <c r="C139" s="9" t="str">
        <f>RIGHT(Table1[[#This Row],[Employee ID]],4)</f>
        <v>1137</v>
      </c>
      <c r="D139" s="9" t="s">
        <v>167</v>
      </c>
      <c r="E139" s="9" t="s">
        <v>172</v>
      </c>
      <c r="F139" s="9">
        <v>84968</v>
      </c>
      <c r="G139" s="25" t="s">
        <v>425</v>
      </c>
      <c r="H139" s="14">
        <v>2.8719999999999999</v>
      </c>
      <c r="I139" s="9"/>
      <c r="J139" s="4" t="s">
        <v>276</v>
      </c>
    </row>
    <row r="140" spans="1:10" x14ac:dyDescent="0.35">
      <c r="A140" s="3" t="s">
        <v>147</v>
      </c>
      <c r="B140" s="9" t="s">
        <v>164</v>
      </c>
      <c r="C140" s="9" t="str">
        <f>RIGHT(Table1[[#This Row],[Employee ID]],4)</f>
        <v>1138</v>
      </c>
      <c r="D140" s="9" t="s">
        <v>295</v>
      </c>
      <c r="E140" s="9" t="s">
        <v>176</v>
      </c>
      <c r="F140" s="9">
        <v>84750</v>
      </c>
      <c r="G140" s="25" t="s">
        <v>426</v>
      </c>
      <c r="H140" s="9">
        <v>4</v>
      </c>
      <c r="I140" s="9" t="s">
        <v>181</v>
      </c>
      <c r="J140" s="4" t="s">
        <v>195</v>
      </c>
    </row>
    <row r="141" spans="1:10" x14ac:dyDescent="0.35">
      <c r="A141" s="3" t="s">
        <v>148</v>
      </c>
      <c r="B141" s="9" t="s">
        <v>165</v>
      </c>
      <c r="C141" s="9" t="str">
        <f>RIGHT(Table1[[#This Row],[Employee ID]],4)</f>
        <v>1139</v>
      </c>
      <c r="D141" s="9" t="s">
        <v>169</v>
      </c>
      <c r="E141" s="9"/>
      <c r="F141" s="9">
        <v>73348</v>
      </c>
      <c r="G141" s="25" t="s">
        <v>427</v>
      </c>
      <c r="H141" s="9">
        <v>2</v>
      </c>
      <c r="I141" s="9"/>
      <c r="J141" s="4" t="s">
        <v>243</v>
      </c>
    </row>
    <row r="142" spans="1:10" x14ac:dyDescent="0.35">
      <c r="A142" s="3" t="s">
        <v>149</v>
      </c>
      <c r="B142" s="9" t="s">
        <v>164</v>
      </c>
      <c r="C142" s="9" t="str">
        <f>RIGHT(Table1[[#This Row],[Employee ID]],4)</f>
        <v>1140</v>
      </c>
      <c r="D142" s="9" t="s">
        <v>294</v>
      </c>
      <c r="E142" s="9" t="s">
        <v>173</v>
      </c>
      <c r="F142" s="9" t="s">
        <v>177</v>
      </c>
      <c r="G142" s="25" t="s">
        <v>428</v>
      </c>
      <c r="H142" s="9">
        <v>4</v>
      </c>
      <c r="I142" s="9" t="s">
        <v>179</v>
      </c>
      <c r="J142" s="4" t="s">
        <v>182</v>
      </c>
    </row>
    <row r="143" spans="1:10" x14ac:dyDescent="0.35">
      <c r="A143" s="3" t="s">
        <v>150</v>
      </c>
      <c r="B143" s="9" t="s">
        <v>162</v>
      </c>
      <c r="C143" s="9" t="str">
        <f>RIGHT(Table1[[#This Row],[Employee ID]],4)</f>
        <v>1141</v>
      </c>
      <c r="D143" s="9" t="s">
        <v>295</v>
      </c>
      <c r="E143" s="9" t="s">
        <v>173</v>
      </c>
      <c r="F143" s="9">
        <v>66882</v>
      </c>
      <c r="G143" s="25" t="s">
        <v>429</v>
      </c>
      <c r="H143" s="9">
        <v>5</v>
      </c>
      <c r="I143" s="9" t="s">
        <v>179</v>
      </c>
      <c r="J143" s="4" t="s">
        <v>207</v>
      </c>
    </row>
    <row r="144" spans="1:10" x14ac:dyDescent="0.35">
      <c r="A144" s="3" t="s">
        <v>151</v>
      </c>
      <c r="B144" s="9" t="s">
        <v>160</v>
      </c>
      <c r="C144" s="9" t="str">
        <f>RIGHT(Table1[[#This Row],[Employee ID]],4)</f>
        <v>1142</v>
      </c>
      <c r="D144" s="9" t="s">
        <v>295</v>
      </c>
      <c r="E144" s="9"/>
      <c r="F144" s="9">
        <v>86775</v>
      </c>
      <c r="G144" s="25" t="s">
        <v>430</v>
      </c>
      <c r="H144" s="9">
        <v>3</v>
      </c>
      <c r="I144" s="9" t="s">
        <v>179</v>
      </c>
      <c r="J144" s="4" t="s">
        <v>212</v>
      </c>
    </row>
    <row r="145" spans="1:10" x14ac:dyDescent="0.35">
      <c r="A145" s="3" t="s">
        <v>152</v>
      </c>
      <c r="B145" s="9" t="s">
        <v>164</v>
      </c>
      <c r="C145" s="9" t="str">
        <f>RIGHT(Table1[[#This Row],[Employee ID]],4)</f>
        <v>1143</v>
      </c>
      <c r="D145" s="9" t="s">
        <v>294</v>
      </c>
      <c r="E145" s="9" t="s">
        <v>175</v>
      </c>
      <c r="F145" s="9">
        <v>91620</v>
      </c>
      <c r="G145" s="25" t="s">
        <v>431</v>
      </c>
      <c r="H145" s="9">
        <v>3</v>
      </c>
      <c r="I145" s="9"/>
      <c r="J145" s="4" t="s">
        <v>277</v>
      </c>
    </row>
    <row r="146" spans="1:10" x14ac:dyDescent="0.35">
      <c r="A146" s="3" t="s">
        <v>153</v>
      </c>
      <c r="B146" s="9" t="s">
        <v>159</v>
      </c>
      <c r="C146" s="9" t="str">
        <f>RIGHT(Table1[[#This Row],[Employee ID]],4)</f>
        <v>1144</v>
      </c>
      <c r="D146" s="9" t="s">
        <v>282</v>
      </c>
      <c r="E146" s="9"/>
      <c r="F146" s="9">
        <v>94148</v>
      </c>
      <c r="G146" s="25" t="s">
        <v>432</v>
      </c>
      <c r="H146" s="9">
        <v>2</v>
      </c>
      <c r="I146" s="9"/>
      <c r="J146" s="4" t="s">
        <v>278</v>
      </c>
    </row>
    <row r="147" spans="1:10" x14ac:dyDescent="0.35">
      <c r="A147" s="3" t="s">
        <v>154</v>
      </c>
      <c r="B147" s="9" t="s">
        <v>163</v>
      </c>
      <c r="C147" s="9" t="str">
        <f>RIGHT(Table1[[#This Row],[Employee ID]],4)</f>
        <v>1145</v>
      </c>
      <c r="D147" s="9" t="s">
        <v>294</v>
      </c>
      <c r="E147" s="9" t="s">
        <v>176</v>
      </c>
      <c r="F147" s="9">
        <v>35627</v>
      </c>
      <c r="G147" s="25" t="s">
        <v>433</v>
      </c>
      <c r="H147" s="9">
        <v>5</v>
      </c>
      <c r="I147" s="9" t="s">
        <v>181</v>
      </c>
      <c r="J147" s="4" t="s">
        <v>275</v>
      </c>
    </row>
    <row r="148" spans="1:10" x14ac:dyDescent="0.35">
      <c r="A148" s="3" t="s">
        <v>155</v>
      </c>
      <c r="B148" s="9" t="s">
        <v>161</v>
      </c>
      <c r="C148" s="9" t="str">
        <f>RIGHT(Table1[[#This Row],[Employee ID]],4)</f>
        <v>1146</v>
      </c>
      <c r="D148" s="9" t="s">
        <v>295</v>
      </c>
      <c r="E148" s="9" t="s">
        <v>173</v>
      </c>
      <c r="F148" s="9">
        <v>57141</v>
      </c>
      <c r="G148" s="25" t="s">
        <v>434</v>
      </c>
      <c r="H148" s="9">
        <v>2</v>
      </c>
      <c r="I148" s="9"/>
      <c r="J148" s="4" t="s">
        <v>276</v>
      </c>
    </row>
    <row r="149" spans="1:10" x14ac:dyDescent="0.35">
      <c r="A149" s="3" t="s">
        <v>156</v>
      </c>
      <c r="B149" s="9" t="s">
        <v>165</v>
      </c>
      <c r="C149" s="9" t="str">
        <f>RIGHT(Table1[[#This Row],[Employee ID]],4)</f>
        <v>1147</v>
      </c>
      <c r="D149" s="9" t="s">
        <v>294</v>
      </c>
      <c r="E149" s="9" t="s">
        <v>176</v>
      </c>
      <c r="F149" s="9">
        <v>65270</v>
      </c>
      <c r="G149" s="25" t="s">
        <v>435</v>
      </c>
      <c r="H149" s="9">
        <v>1</v>
      </c>
      <c r="I149" s="9"/>
      <c r="J149" s="4" t="s">
        <v>279</v>
      </c>
    </row>
    <row r="150" spans="1:10" x14ac:dyDescent="0.35">
      <c r="A150" s="3" t="s">
        <v>157</v>
      </c>
      <c r="B150" s="9" t="s">
        <v>165</v>
      </c>
      <c r="C150" s="9" t="str">
        <f>RIGHT(Table1[[#This Row],[Employee ID]],4)</f>
        <v>1148</v>
      </c>
      <c r="D150" s="9" t="s">
        <v>282</v>
      </c>
      <c r="E150" s="9" t="s">
        <v>175</v>
      </c>
      <c r="F150" s="9">
        <v>67335</v>
      </c>
      <c r="G150" s="25" t="s">
        <v>436</v>
      </c>
      <c r="H150" s="9">
        <v>1</v>
      </c>
      <c r="I150" s="9" t="s">
        <v>179</v>
      </c>
      <c r="J150" s="4" t="s">
        <v>233</v>
      </c>
    </row>
    <row r="151" spans="1:10" x14ac:dyDescent="0.35">
      <c r="A151" s="5" t="s">
        <v>158</v>
      </c>
      <c r="B151" s="10" t="s">
        <v>163</v>
      </c>
      <c r="C151" s="10" t="str">
        <f>RIGHT(Table1[[#This Row],[Employee ID]],4)</f>
        <v>1149</v>
      </c>
      <c r="D151" s="10" t="s">
        <v>295</v>
      </c>
      <c r="E151" s="10" t="s">
        <v>174</v>
      </c>
      <c r="F151" s="10">
        <v>98475</v>
      </c>
      <c r="G151" s="26" t="s">
        <v>437</v>
      </c>
      <c r="H151" s="10">
        <v>5</v>
      </c>
      <c r="I151" s="10" t="s">
        <v>179</v>
      </c>
      <c r="J151" s="6" t="s">
        <v>280</v>
      </c>
    </row>
  </sheetData>
  <mergeCells count="1">
    <mergeCell ref="K9:L9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2025-11-14T16:32:30Z</dcterms:modified>
</cp:coreProperties>
</file>